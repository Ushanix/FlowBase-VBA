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calcChain.xml" ContentType="application/vnd.openxmlformats-officedocument.spreadsheetml.calcChain+xml"/>
  <Override PartName="/xl/python.xml" ContentType="application/vnd.ms-excel.pyth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ev\FlowBase-VBA\"/>
    </mc:Choice>
  </mc:AlternateContent>
  <xr:revisionPtr revIDLastSave="0" documentId="13_ncr:1_{4F74686B-0C19-4227-A250-BEE326B05BB4}" xr6:coauthVersionLast="47" xr6:coauthVersionMax="47" xr10:uidLastSave="{00000000-0000-0000-0000-000000000000}"/>
  <bookViews>
    <workbookView xWindow="-29055" yWindow="-5145" windowWidth="29040" windowHeight="15720" firstSheet="15" activeTab="20" xr2:uid="{00000000-000D-0000-FFFF-FFFF00000000}"/>
  </bookViews>
  <sheets>
    <sheet name="UI_AddSheet" sheetId="1" r:id="rId1"/>
    <sheet name="UI_Dashboard" sheetId="18" r:id="rId2"/>
    <sheet name="UI_Index" sheetId="2" r:id="rId3"/>
    <sheet name="UI_ProjectIndex" sheetId="4" r:id="rId4"/>
    <sheet name="OUT_TaskUrgent" sheetId="3" r:id="rId5"/>
    <sheet name="DEF_ActionType" sheetId="20" r:id="rId6"/>
    <sheet name="DEF_MoSCoW" sheetId="6" r:id="rId7"/>
    <sheet name="DEF_PJ-CATEGORY-FY-SEQ" sheetId="7" r:id="rId8"/>
    <sheet name="DEF_PT-Name" sheetId="8" r:id="rId9"/>
    <sheet name="DEF_time_coverage" sheetId="24" r:id="rId10"/>
    <sheet name="DEF_event_type" sheetId="23" r:id="rId11"/>
    <sheet name="DEF_Parameter" sheetId="9" r:id="rId12"/>
    <sheet name="DEF_SheetPrefix" sheetId="10" r:id="rId13"/>
    <sheet name="DEF_owner" sheetId="11" r:id="rId14"/>
    <sheet name="DEF_project_category" sheetId="12" r:id="rId15"/>
    <sheet name="DEF_sheet_role" sheetId="13" r:id="rId16"/>
    <sheet name="DEF_story_point" sheetId="14" r:id="rId17"/>
    <sheet name="M_Cov_WBS-Obsidian" sheetId="15" r:id="rId18"/>
    <sheet name="M_DoD_check" sheetId="16" r:id="rId19"/>
    <sheet name="M_Kanban_Status" sheetId="17" r:id="rId20"/>
    <sheet name="LOG_UpdateHistory" sheetId="19" r:id="rId21"/>
    <sheet name="PJ-INFRA-26-01" sheetId="21" r:id="rId22"/>
  </sheets>
  <functionGroups builtInGroupCount="19"/>
  <definedNames>
    <definedName name="_xleta.IF" hidden="1" xlm="1">#NAME?</definedName>
    <definedName name="_xleta.SUMIF" hidden="1" xlm="1">#NAME?</definedName>
    <definedName name="ListTaskCategory" localSheetId="21">テーブル44[category_id]</definedName>
    <definedName name="ListTaskCategory">テーブル44[category_id]</definedName>
    <definedName name="lstBranchPreffix" localSheetId="21">テーブル15[branch_prefix]</definedName>
    <definedName name="lstBranchPreffix">テーブル15[branch_prefix]</definedName>
    <definedName name="lstDoD_check" localSheetId="21">DoDCheckTable[dod_name]</definedName>
    <definedName name="lstDoD_check">DoDCheckTable[dod_name]</definedName>
    <definedName name="lstEventType">EventTypeTalbe[event_type]</definedName>
    <definedName name="lstKanbanStatus" localSheetId="21">KanbanStatusTable[Kanban_Status]</definedName>
    <definedName name="lstKanbanStatus">KanbanStatusTable[Kanban_Status]</definedName>
    <definedName name="lstMoSCoW" localSheetId="21">MoSCowTable[priority]</definedName>
    <definedName name="lstMoSCoW">MoSCowTable[priority]</definedName>
    <definedName name="lstOwner" localSheetId="21">OwnerTable[owner]</definedName>
    <definedName name="lstOwner">OwnerTable[owner]</definedName>
    <definedName name="lstProjectCategory" localSheetId="21">テーブル44[category_id]</definedName>
    <definedName name="lstProjectCategory">テーブル44[category_id]</definedName>
    <definedName name="lstSheetRole" localSheetId="21">SheetRoleTable[sheet_role]</definedName>
    <definedName name="lstSheetRole">SheetRoleTable[sheet_role]</definedName>
    <definedName name="lstStroryPoint" localSheetId="21">StoryPointTable[story_point]</definedName>
    <definedName name="lstStroryPoint">StoryPointTable[story_point]</definedName>
    <definedName name="lstTimeCoverage">TimeCoverageTalbe[time_coverage]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7" l="1"/>
  <c r="D33" i="7"/>
  <c r="D34" i="7"/>
  <c r="D35" i="7"/>
  <c r="D36" i="7"/>
  <c r="D37" i="7"/>
  <c r="D31" i="7"/>
  <c r="P258" i="21"/>
  <c r="P257" i="21"/>
  <c r="P256" i="21"/>
  <c r="P255" i="21"/>
  <c r="P254" i="21"/>
  <c r="P253" i="21"/>
  <c r="P252" i="21"/>
  <c r="P251" i="21"/>
  <c r="P250" i="21"/>
  <c r="P249" i="21"/>
  <c r="P248" i="21"/>
  <c r="B19" i="21" s="1"/>
  <c r="P247" i="21"/>
  <c r="P246" i="21"/>
  <c r="P245" i="21"/>
  <c r="P244" i="21"/>
  <c r="P243" i="21"/>
  <c r="P242" i="21"/>
  <c r="P241" i="21"/>
  <c r="P240" i="21"/>
  <c r="P239" i="21"/>
  <c r="P238" i="21"/>
  <c r="P237" i="21"/>
  <c r="P236" i="21"/>
  <c r="P235" i="21"/>
  <c r="P234" i="21"/>
  <c r="P233" i="21"/>
  <c r="P232" i="21"/>
  <c r="P231" i="21"/>
  <c r="P230" i="21"/>
  <c r="P229" i="21"/>
  <c r="P228" i="21"/>
  <c r="P227" i="21"/>
  <c r="P226" i="21"/>
  <c r="P225" i="21"/>
  <c r="P224" i="21"/>
  <c r="P223" i="21"/>
  <c r="P222" i="21"/>
  <c r="P221" i="21"/>
  <c r="P220" i="21"/>
  <c r="P219" i="21"/>
  <c r="P218" i="21"/>
  <c r="P217" i="21"/>
  <c r="P216" i="21"/>
  <c r="P215" i="21"/>
  <c r="P214" i="21"/>
  <c r="P213" i="21"/>
  <c r="P212" i="21"/>
  <c r="P211" i="21"/>
  <c r="P210" i="21"/>
  <c r="P209" i="21"/>
  <c r="P208" i="21"/>
  <c r="P207" i="21"/>
  <c r="P206" i="21"/>
  <c r="P205" i="21"/>
  <c r="P204" i="21"/>
  <c r="P203" i="21"/>
  <c r="P202" i="21"/>
  <c r="P201" i="21"/>
  <c r="P200" i="21"/>
  <c r="P199" i="21"/>
  <c r="P198" i="21"/>
  <c r="P197" i="21"/>
  <c r="P196" i="21"/>
  <c r="P195" i="21"/>
  <c r="P194" i="21"/>
  <c r="P193" i="21"/>
  <c r="P192" i="21"/>
  <c r="P191" i="21"/>
  <c r="P190" i="21"/>
  <c r="P189" i="21"/>
  <c r="P188" i="21"/>
  <c r="P187" i="21"/>
  <c r="P186" i="21"/>
  <c r="P185" i="21"/>
  <c r="P184" i="21"/>
  <c r="P183" i="21"/>
  <c r="P182" i="21"/>
  <c r="P181" i="21"/>
  <c r="P180" i="21"/>
  <c r="P179" i="21"/>
  <c r="P178" i="21"/>
  <c r="P177" i="21"/>
  <c r="P176" i="21"/>
  <c r="P175" i="21"/>
  <c r="P174" i="21"/>
  <c r="P173" i="21"/>
  <c r="P172" i="21"/>
  <c r="P171" i="21"/>
  <c r="P170" i="21"/>
  <c r="P169" i="21"/>
  <c r="P168" i="21"/>
  <c r="P167" i="21"/>
  <c r="P166" i="21"/>
  <c r="P165" i="21"/>
  <c r="P164" i="21"/>
  <c r="P163" i="21"/>
  <c r="P162" i="21"/>
  <c r="P161" i="21"/>
  <c r="P160" i="21"/>
  <c r="P159" i="21"/>
  <c r="P158" i="21"/>
  <c r="P157" i="21"/>
  <c r="P156" i="21"/>
  <c r="P155" i="21"/>
  <c r="P154" i="21"/>
  <c r="P153" i="21"/>
  <c r="P152" i="21"/>
  <c r="P151" i="21"/>
  <c r="P150" i="21"/>
  <c r="P149" i="21"/>
  <c r="P148" i="21"/>
  <c r="P147" i="21"/>
  <c r="P146" i="21"/>
  <c r="P145" i="21"/>
  <c r="P144" i="21"/>
  <c r="P143" i="21"/>
  <c r="P142" i="21"/>
  <c r="P141" i="21"/>
  <c r="P140" i="21"/>
  <c r="P139" i="21"/>
  <c r="P138" i="21"/>
  <c r="P137" i="21"/>
  <c r="P136" i="21"/>
  <c r="P135" i="21"/>
  <c r="P134" i="21"/>
  <c r="P133" i="21"/>
  <c r="P132" i="21"/>
  <c r="P131" i="21"/>
  <c r="P130" i="21"/>
  <c r="P129" i="21"/>
  <c r="P128" i="21"/>
  <c r="P127" i="21"/>
  <c r="P126" i="21"/>
  <c r="P125" i="21"/>
  <c r="P124" i="21"/>
  <c r="P123" i="21"/>
  <c r="P122" i="21"/>
  <c r="P121" i="21"/>
  <c r="P120" i="21"/>
  <c r="P119" i="21"/>
  <c r="P118" i="21"/>
  <c r="P117" i="21"/>
  <c r="P116" i="21"/>
  <c r="P115" i="21"/>
  <c r="P114" i="21"/>
  <c r="P113" i="21"/>
  <c r="P112" i="21"/>
  <c r="P111" i="21"/>
  <c r="P110" i="21"/>
  <c r="P109" i="21"/>
  <c r="P108" i="21"/>
  <c r="P107" i="21"/>
  <c r="P106" i="21"/>
  <c r="P105" i="21"/>
  <c r="P104" i="21"/>
  <c r="P103" i="21"/>
  <c r="P102" i="21"/>
  <c r="P101" i="21"/>
  <c r="P100" i="21"/>
  <c r="P99" i="21"/>
  <c r="P98" i="21"/>
  <c r="P97" i="21"/>
  <c r="P96" i="21"/>
  <c r="P95" i="21"/>
  <c r="P94" i="21"/>
  <c r="P93" i="21"/>
  <c r="P92" i="21"/>
  <c r="P91" i="21"/>
  <c r="P90" i="21"/>
  <c r="P89" i="21"/>
  <c r="P88" i="21"/>
  <c r="P87" i="21"/>
  <c r="P86" i="21"/>
  <c r="P85" i="21"/>
  <c r="P84" i="21"/>
  <c r="P83" i="21"/>
  <c r="P82" i="21"/>
  <c r="P81" i="21"/>
  <c r="P80" i="21"/>
  <c r="P79" i="21"/>
  <c r="P78" i="21"/>
  <c r="P77" i="21"/>
  <c r="P76" i="21"/>
  <c r="P75" i="21"/>
  <c r="P74" i="21"/>
  <c r="P73" i="21"/>
  <c r="P72" i="21"/>
  <c r="P71" i="21"/>
  <c r="P70" i="21"/>
  <c r="P69" i="21"/>
  <c r="P68" i="21"/>
  <c r="P67" i="21"/>
  <c r="P66" i="21"/>
  <c r="P65" i="21"/>
  <c r="P64" i="21"/>
  <c r="P63" i="21"/>
  <c r="P62" i="21"/>
  <c r="P61" i="21"/>
  <c r="P60" i="21"/>
  <c r="A60" i="21"/>
  <c r="A61" i="21" s="1"/>
  <c r="P59" i="21"/>
  <c r="B59" i="21"/>
  <c r="B38" i="21"/>
  <c r="C37" i="21"/>
  <c r="B37" i="21"/>
  <c r="C36" i="21"/>
  <c r="B36" i="21"/>
  <c r="C35" i="21"/>
  <c r="B35" i="21"/>
  <c r="C34" i="21"/>
  <c r="B34" i="21"/>
  <c r="C33" i="21"/>
  <c r="B33" i="21"/>
  <c r="C32" i="21"/>
  <c r="B32" i="21"/>
  <c r="C31" i="21"/>
  <c r="B31" i="21"/>
  <c r="B16" i="21"/>
  <c r="B11" i="2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J62" i="19"/>
  <c r="J63" i="19"/>
  <c r="J64" i="19"/>
  <c r="J65" i="19"/>
  <c r="J66" i="19"/>
  <c r="J67" i="19"/>
  <c r="J68" i="19"/>
  <c r="J69" i="19"/>
  <c r="J70" i="19"/>
  <c r="J71" i="19"/>
  <c r="J72" i="19"/>
  <c r="J73" i="19"/>
  <c r="J74" i="19"/>
  <c r="J75" i="19"/>
  <c r="J76" i="19"/>
  <c r="J77" i="19"/>
  <c r="J78" i="19"/>
  <c r="J79" i="19"/>
  <c r="J80" i="19"/>
  <c r="J81" i="19"/>
  <c r="J82" i="19"/>
  <c r="J83" i="19"/>
  <c r="J84" i="19"/>
  <c r="J85" i="19"/>
  <c r="J86" i="19"/>
  <c r="J87" i="19"/>
  <c r="J88" i="19"/>
  <c r="J89" i="19"/>
  <c r="J90" i="19"/>
  <c r="J91" i="19"/>
  <c r="J92" i="19"/>
  <c r="J93" i="19"/>
  <c r="J94" i="19"/>
  <c r="J95" i="19"/>
  <c r="J96" i="19"/>
  <c r="J97" i="19"/>
  <c r="J98" i="19"/>
  <c r="J99" i="19"/>
  <c r="J100" i="19"/>
  <c r="J101" i="19"/>
  <c r="J102" i="19"/>
  <c r="J103" i="19"/>
  <c r="J104" i="19"/>
  <c r="J105" i="19"/>
  <c r="J106" i="19"/>
  <c r="J107" i="19"/>
  <c r="J108" i="19"/>
  <c r="J109" i="19"/>
  <c r="A64" i="8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A76" i="8" s="1"/>
  <c r="A77" i="8" s="1"/>
  <c r="A78" i="8" s="1"/>
  <c r="A79" i="8" s="1"/>
  <c r="A80" i="8" s="1"/>
  <c r="A81" i="8" s="1"/>
  <c r="A82" i="8" s="1"/>
  <c r="A83" i="8" s="1"/>
  <c r="A84" i="8" s="1"/>
  <c r="A85" i="8" s="1"/>
  <c r="A86" i="8" s="1"/>
  <c r="A87" i="8" s="1"/>
  <c r="A88" i="8" s="1"/>
  <c r="A89" i="8" s="1"/>
  <c r="A90" i="8" s="1"/>
  <c r="A91" i="8" s="1"/>
  <c r="A92" i="8" s="1"/>
  <c r="A93" i="8" s="1"/>
  <c r="A94" i="8" s="1"/>
  <c r="A95" i="8" s="1"/>
  <c r="A96" i="8" s="1"/>
  <c r="A97" i="8" s="1"/>
  <c r="A98" i="8" s="1"/>
  <c r="A99" i="8" s="1"/>
  <c r="A100" i="8" s="1"/>
  <c r="A101" i="8" s="1"/>
  <c r="A102" i="8" s="1"/>
  <c r="A103" i="8" s="1"/>
  <c r="A104" i="8" s="1"/>
  <c r="A105" i="8" s="1"/>
  <c r="A106" i="8" s="1"/>
  <c r="A107" i="8" s="1"/>
  <c r="A108" i="8" s="1"/>
  <c r="A109" i="8" s="1"/>
  <c r="A110" i="8" s="1"/>
  <c r="A111" i="8" s="1"/>
  <c r="A112" i="8" s="1"/>
  <c r="A113" i="8" s="1"/>
  <c r="A114" i="8" s="1"/>
  <c r="A115" i="8" s="1"/>
  <c r="A116" i="8" s="1"/>
  <c r="A117" i="8" s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A201" i="8" s="1"/>
  <c r="A202" i="8" s="1"/>
  <c r="A203" i="8" s="1"/>
  <c r="A204" i="8" s="1"/>
  <c r="A205" i="8" s="1"/>
  <c r="A206" i="8" s="1"/>
  <c r="A207" i="8" s="1"/>
  <c r="A208" i="8" s="1"/>
  <c r="A209" i="8" s="1"/>
  <c r="A210" i="8" s="1"/>
  <c r="A211" i="8" s="1"/>
  <c r="A212" i="8" s="1"/>
  <c r="A213" i="8" s="1"/>
  <c r="A214" i="8" s="1"/>
  <c r="A215" i="8" s="1"/>
  <c r="A216" i="8" s="1"/>
  <c r="A217" i="8" s="1"/>
  <c r="A218" i="8" s="1"/>
  <c r="A219" i="8" s="1"/>
  <c r="A220" i="8" s="1"/>
  <c r="A221" i="8" s="1"/>
  <c r="A222" i="8" s="1"/>
  <c r="A223" i="8" s="1"/>
  <c r="A224" i="8" s="1"/>
  <c r="A225" i="8" s="1"/>
  <c r="A226" i="8" s="1"/>
  <c r="A227" i="8" s="1"/>
  <c r="A228" i="8" s="1"/>
  <c r="A229" i="8" s="1"/>
  <c r="A230" i="8" s="1"/>
  <c r="A231" i="8" s="1"/>
  <c r="A232" i="8" s="1"/>
  <c r="A233" i="8" s="1"/>
  <c r="A234" i="8" s="1"/>
  <c r="A235" i="8" s="1"/>
  <c r="A236" i="8" s="1"/>
  <c r="A237" i="8" s="1"/>
  <c r="A238" i="8" s="1"/>
  <c r="A239" i="8" s="1"/>
  <c r="A240" i="8" s="1"/>
  <c r="A241" i="8" s="1"/>
  <c r="A242" i="8" s="1"/>
  <c r="A243" i="8" s="1"/>
  <c r="A244" i="8" s="1"/>
  <c r="A245" i="8" s="1"/>
  <c r="A246" i="8" s="1"/>
  <c r="A247" i="8" s="1"/>
  <c r="A248" i="8" s="1"/>
  <c r="A249" i="8" s="1"/>
  <c r="A250" i="8" s="1"/>
  <c r="A251" i="8" s="1"/>
  <c r="A252" i="8" s="1"/>
  <c r="A253" i="8" s="1"/>
  <c r="A254" i="8" s="1"/>
  <c r="A255" i="8" s="1"/>
  <c r="A256" i="8" s="1"/>
  <c r="A257" i="8" s="1"/>
  <c r="A258" i="8" s="1"/>
  <c r="A259" i="8" s="1"/>
  <c r="A260" i="8" s="1"/>
  <c r="A261" i="8" s="1"/>
  <c r="A262" i="8" s="1"/>
  <c r="A34" i="8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B8" i="8"/>
  <c r="B6" i="8"/>
  <c r="P258" i="7"/>
  <c r="P257" i="7"/>
  <c r="P256" i="7"/>
  <c r="P255" i="7"/>
  <c r="P254" i="7"/>
  <c r="P253" i="7"/>
  <c r="P252" i="7"/>
  <c r="P251" i="7"/>
  <c r="P250" i="7"/>
  <c r="P249" i="7"/>
  <c r="P248" i="7"/>
  <c r="P247" i="7"/>
  <c r="P246" i="7"/>
  <c r="P245" i="7"/>
  <c r="P244" i="7"/>
  <c r="P243" i="7"/>
  <c r="P242" i="7"/>
  <c r="P241" i="7"/>
  <c r="P240" i="7"/>
  <c r="P239" i="7"/>
  <c r="P238" i="7"/>
  <c r="P237" i="7"/>
  <c r="P236" i="7"/>
  <c r="P235" i="7"/>
  <c r="P234" i="7"/>
  <c r="P233" i="7"/>
  <c r="P232" i="7"/>
  <c r="P231" i="7"/>
  <c r="P230" i="7"/>
  <c r="P229" i="7"/>
  <c r="P228" i="7"/>
  <c r="P227" i="7"/>
  <c r="P226" i="7"/>
  <c r="P225" i="7"/>
  <c r="P224" i="7"/>
  <c r="P223" i="7"/>
  <c r="P222" i="7"/>
  <c r="P221" i="7"/>
  <c r="P220" i="7"/>
  <c r="P219" i="7"/>
  <c r="P218" i="7"/>
  <c r="P217" i="7"/>
  <c r="P216" i="7"/>
  <c r="P215" i="7"/>
  <c r="P214" i="7"/>
  <c r="P213" i="7"/>
  <c r="P212" i="7"/>
  <c r="P211" i="7"/>
  <c r="P210" i="7"/>
  <c r="P209" i="7"/>
  <c r="P208" i="7"/>
  <c r="P207" i="7"/>
  <c r="P206" i="7"/>
  <c r="P205" i="7"/>
  <c r="P204" i="7"/>
  <c r="P203" i="7"/>
  <c r="P202" i="7"/>
  <c r="P201" i="7"/>
  <c r="P200" i="7"/>
  <c r="P199" i="7"/>
  <c r="P198" i="7"/>
  <c r="P197" i="7"/>
  <c r="P196" i="7"/>
  <c r="P195" i="7"/>
  <c r="P194" i="7"/>
  <c r="P193" i="7"/>
  <c r="P192" i="7"/>
  <c r="P191" i="7"/>
  <c r="P190" i="7"/>
  <c r="P189" i="7"/>
  <c r="P188" i="7"/>
  <c r="P187" i="7"/>
  <c r="P186" i="7"/>
  <c r="P185" i="7"/>
  <c r="P184" i="7"/>
  <c r="P183" i="7"/>
  <c r="P182" i="7"/>
  <c r="P181" i="7"/>
  <c r="P180" i="7"/>
  <c r="P179" i="7"/>
  <c r="P178" i="7"/>
  <c r="P177" i="7"/>
  <c r="P176" i="7"/>
  <c r="P175" i="7"/>
  <c r="P174" i="7"/>
  <c r="P173" i="7"/>
  <c r="P172" i="7"/>
  <c r="P171" i="7"/>
  <c r="P170" i="7"/>
  <c r="P169" i="7"/>
  <c r="P168" i="7"/>
  <c r="P167" i="7"/>
  <c r="P166" i="7"/>
  <c r="P165" i="7"/>
  <c r="P164" i="7"/>
  <c r="P163" i="7"/>
  <c r="P162" i="7"/>
  <c r="P161" i="7"/>
  <c r="P160" i="7"/>
  <c r="P159" i="7"/>
  <c r="P158" i="7"/>
  <c r="P157" i="7"/>
  <c r="P156" i="7"/>
  <c r="P155" i="7"/>
  <c r="P154" i="7"/>
  <c r="P153" i="7"/>
  <c r="P152" i="7"/>
  <c r="P151" i="7"/>
  <c r="P150" i="7"/>
  <c r="P149" i="7"/>
  <c r="P148" i="7"/>
  <c r="P147" i="7"/>
  <c r="P146" i="7"/>
  <c r="P145" i="7"/>
  <c r="P144" i="7"/>
  <c r="P143" i="7"/>
  <c r="P142" i="7"/>
  <c r="P141" i="7"/>
  <c r="P140" i="7"/>
  <c r="P139" i="7"/>
  <c r="P138" i="7"/>
  <c r="P137" i="7"/>
  <c r="P136" i="7"/>
  <c r="P135" i="7"/>
  <c r="P134" i="7"/>
  <c r="P133" i="7"/>
  <c r="P132" i="7"/>
  <c r="P131" i="7"/>
  <c r="P130" i="7"/>
  <c r="P129" i="7"/>
  <c r="P128" i="7"/>
  <c r="P127" i="7"/>
  <c r="P126" i="7"/>
  <c r="P125" i="7"/>
  <c r="P124" i="7"/>
  <c r="P123" i="7"/>
  <c r="P122" i="7"/>
  <c r="P121" i="7"/>
  <c r="P120" i="7"/>
  <c r="P119" i="7"/>
  <c r="P118" i="7"/>
  <c r="P117" i="7"/>
  <c r="P116" i="7"/>
  <c r="P115" i="7"/>
  <c r="P114" i="7"/>
  <c r="P113" i="7"/>
  <c r="P112" i="7"/>
  <c r="P111" i="7"/>
  <c r="P110" i="7"/>
  <c r="P109" i="7"/>
  <c r="P108" i="7"/>
  <c r="P107" i="7"/>
  <c r="P106" i="7"/>
  <c r="P105" i="7"/>
  <c r="P104" i="7"/>
  <c r="P103" i="7"/>
  <c r="P102" i="7"/>
  <c r="P101" i="7"/>
  <c r="P100" i="7"/>
  <c r="P99" i="7"/>
  <c r="P98" i="7"/>
  <c r="P97" i="7"/>
  <c r="P96" i="7"/>
  <c r="P95" i="7"/>
  <c r="P94" i="7"/>
  <c r="P93" i="7"/>
  <c r="P92" i="7"/>
  <c r="P91" i="7"/>
  <c r="P90" i="7"/>
  <c r="P89" i="7"/>
  <c r="P88" i="7"/>
  <c r="P87" i="7"/>
  <c r="P86" i="7"/>
  <c r="P85" i="7"/>
  <c r="P84" i="7"/>
  <c r="P83" i="7"/>
  <c r="P82" i="7"/>
  <c r="P81" i="7"/>
  <c r="P80" i="7"/>
  <c r="P79" i="7"/>
  <c r="P78" i="7"/>
  <c r="P77" i="7"/>
  <c r="P76" i="7"/>
  <c r="P75" i="7"/>
  <c r="P74" i="7"/>
  <c r="P73" i="7"/>
  <c r="P72" i="7"/>
  <c r="P71" i="7"/>
  <c r="P70" i="7"/>
  <c r="P69" i="7"/>
  <c r="P68" i="7"/>
  <c r="P67" i="7"/>
  <c r="P66" i="7"/>
  <c r="P65" i="7"/>
  <c r="P64" i="7"/>
  <c r="P63" i="7"/>
  <c r="P62" i="7"/>
  <c r="P61" i="7"/>
  <c r="P60" i="7"/>
  <c r="A60" i="7"/>
  <c r="P59" i="7"/>
  <c r="B59" i="7"/>
  <c r="B38" i="7"/>
  <c r="C37" i="7"/>
  <c r="B37" i="7"/>
  <c r="C36" i="7"/>
  <c r="B36" i="7"/>
  <c r="C35" i="7"/>
  <c r="B35" i="7"/>
  <c r="C34" i="7"/>
  <c r="B34" i="7"/>
  <c r="C33" i="7"/>
  <c r="B33" i="7"/>
  <c r="C32" i="7"/>
  <c r="B32" i="7"/>
  <c r="C31" i="7"/>
  <c r="B31" i="7"/>
  <c r="B16" i="7"/>
  <c r="B11" i="7"/>
  <c r="C38" i="21" l="1"/>
  <c r="D32" i="21" s="1"/>
  <c r="B61" i="21"/>
  <c r="A62" i="21"/>
  <c r="D34" i="21"/>
  <c r="D31" i="21"/>
  <c r="B60" i="21"/>
  <c r="C27" i="8"/>
  <c r="B19" i="7"/>
  <c r="A61" i="7"/>
  <c r="B60" i="7"/>
  <c r="B27" i="8"/>
  <c r="C38" i="7"/>
  <c r="D21" i="8" l="1"/>
  <c r="D22" i="8"/>
  <c r="D23" i="8"/>
  <c r="D24" i="8"/>
  <c r="D25" i="8"/>
  <c r="D26" i="8"/>
  <c r="D20" i="8"/>
  <c r="D35" i="21"/>
  <c r="D36" i="21"/>
  <c r="D33" i="21"/>
  <c r="D37" i="21"/>
  <c r="D38" i="21"/>
  <c r="A63" i="21"/>
  <c r="B62" i="21"/>
  <c r="A62" i="7"/>
  <c r="B61" i="7"/>
  <c r="D27" i="8" l="1"/>
  <c r="B63" i="21"/>
  <c r="A64" i="21"/>
  <c r="D38" i="7"/>
  <c r="B62" i="7"/>
  <c r="A63" i="7"/>
  <c r="A65" i="21" l="1"/>
  <c r="B64" i="21"/>
  <c r="A64" i="7"/>
  <c r="B63" i="7"/>
  <c r="A66" i="21" l="1"/>
  <c r="B65" i="21"/>
  <c r="B64" i="7"/>
  <c r="A65" i="7"/>
  <c r="B66" i="21" l="1"/>
  <c r="A67" i="21"/>
  <c r="A66" i="7"/>
  <c r="B65" i="7"/>
  <c r="A68" i="21" l="1"/>
  <c r="B67" i="21"/>
  <c r="A67" i="7"/>
  <c r="B66" i="7"/>
  <c r="A69" i="21" l="1"/>
  <c r="B68" i="21"/>
  <c r="A68" i="7"/>
  <c r="B67" i="7"/>
  <c r="A70" i="21" l="1"/>
  <c r="B69" i="21"/>
  <c r="A69" i="7"/>
  <c r="B68" i="7"/>
  <c r="B70" i="21" l="1"/>
  <c r="A71" i="21"/>
  <c r="A70" i="7"/>
  <c r="B69" i="7"/>
  <c r="A72" i="21" l="1"/>
  <c r="B71" i="21"/>
  <c r="B70" i="7"/>
  <c r="A71" i="7"/>
  <c r="A73" i="21" l="1"/>
  <c r="B72" i="21"/>
  <c r="A72" i="7"/>
  <c r="B71" i="7"/>
  <c r="A74" i="21" l="1"/>
  <c r="B73" i="21"/>
  <c r="A73" i="7"/>
  <c r="B72" i="7"/>
  <c r="B74" i="21" l="1"/>
  <c r="A75" i="21"/>
  <c r="A74" i="7"/>
  <c r="B73" i="7"/>
  <c r="A76" i="21" l="1"/>
  <c r="B75" i="21"/>
  <c r="A75" i="7"/>
  <c r="B74" i="7"/>
  <c r="A77" i="21" l="1"/>
  <c r="B76" i="21"/>
  <c r="A76" i="7"/>
  <c r="B75" i="7"/>
  <c r="A78" i="21" l="1"/>
  <c r="B77" i="21"/>
  <c r="A77" i="7"/>
  <c r="B76" i="7"/>
  <c r="B78" i="21" l="1"/>
  <c r="A79" i="21"/>
  <c r="A78" i="7"/>
  <c r="B77" i="7"/>
  <c r="A80" i="21" l="1"/>
  <c r="B79" i="21"/>
  <c r="B78" i="7"/>
  <c r="A79" i="7"/>
  <c r="A81" i="21" l="1"/>
  <c r="B80" i="21"/>
  <c r="A80" i="7"/>
  <c r="B79" i="7"/>
  <c r="A82" i="21" l="1"/>
  <c r="B81" i="21"/>
  <c r="A81" i="7"/>
  <c r="B80" i="7"/>
  <c r="A83" i="21" l="1"/>
  <c r="B82" i="21"/>
  <c r="B81" i="7"/>
  <c r="A82" i="7"/>
  <c r="B83" i="21" l="1"/>
  <c r="A84" i="21"/>
  <c r="A83" i="7"/>
  <c r="B82" i="7"/>
  <c r="A85" i="21" l="1"/>
  <c r="B84" i="21"/>
  <c r="A84" i="7"/>
  <c r="B83" i="7"/>
  <c r="B85" i="21" l="1"/>
  <c r="A86" i="21"/>
  <c r="A85" i="7"/>
  <c r="B84" i="7"/>
  <c r="A87" i="21" l="1"/>
  <c r="B86" i="21"/>
  <c r="A86" i="7"/>
  <c r="B85" i="7"/>
  <c r="B87" i="21" l="1"/>
  <c r="A88" i="21"/>
  <c r="B86" i="7"/>
  <c r="A87" i="7"/>
  <c r="A89" i="21" l="1"/>
  <c r="B88" i="21"/>
  <c r="B87" i="7"/>
  <c r="A88" i="7"/>
  <c r="A90" i="21" l="1"/>
  <c r="B89" i="21"/>
  <c r="A89" i="7"/>
  <c r="B88" i="7"/>
  <c r="B90" i="21" l="1"/>
  <c r="A91" i="21"/>
  <c r="A90" i="7"/>
  <c r="B89" i="7"/>
  <c r="B91" i="21" l="1"/>
  <c r="A92" i="21"/>
  <c r="A91" i="7"/>
  <c r="B90" i="7"/>
  <c r="A93" i="21" l="1"/>
  <c r="B92" i="21"/>
  <c r="B91" i="7"/>
  <c r="A92" i="7"/>
  <c r="A94" i="21" l="1"/>
  <c r="B93" i="21"/>
  <c r="A93" i="7"/>
  <c r="B92" i="7"/>
  <c r="A95" i="21" l="1"/>
  <c r="B94" i="21"/>
  <c r="A94" i="7"/>
  <c r="B93" i="7"/>
  <c r="B95" i="21" l="1"/>
  <c r="A96" i="21"/>
  <c r="B94" i="7"/>
  <c r="A95" i="7"/>
  <c r="A97" i="21" l="1"/>
  <c r="B96" i="21"/>
  <c r="A96" i="7"/>
  <c r="B95" i="7"/>
  <c r="A98" i="21" l="1"/>
  <c r="B97" i="21"/>
  <c r="A97" i="7"/>
  <c r="B96" i="7"/>
  <c r="B98" i="21" l="1"/>
  <c r="A99" i="21"/>
  <c r="B97" i="7"/>
  <c r="A98" i="7"/>
  <c r="B99" i="21" l="1"/>
  <c r="A100" i="21"/>
  <c r="A99" i="7"/>
  <c r="B98" i="7"/>
  <c r="B100" i="21" l="1"/>
  <c r="A101" i="21"/>
  <c r="B99" i="7"/>
  <c r="A100" i="7"/>
  <c r="B101" i="21" l="1"/>
  <c r="A102" i="21"/>
  <c r="A101" i="7"/>
  <c r="B100" i="7"/>
  <c r="B102" i="21" l="1"/>
  <c r="A103" i="21"/>
  <c r="A102" i="7"/>
  <c r="B101" i="7"/>
  <c r="A104" i="21" l="1"/>
  <c r="B103" i="21"/>
  <c r="B102" i="7"/>
  <c r="A103" i="7"/>
  <c r="A105" i="21" l="1"/>
  <c r="B104" i="21"/>
  <c r="A104" i="7"/>
  <c r="B103" i="7"/>
  <c r="A106" i="21" l="1"/>
  <c r="B105" i="21"/>
  <c r="A105" i="7"/>
  <c r="B104" i="7"/>
  <c r="B106" i="21" l="1"/>
  <c r="A107" i="21"/>
  <c r="A106" i="7"/>
  <c r="B105" i="7"/>
  <c r="A108" i="21" l="1"/>
  <c r="B107" i="21"/>
  <c r="A107" i="7"/>
  <c r="B106" i="7"/>
  <c r="A109" i="21" l="1"/>
  <c r="B108" i="21"/>
  <c r="A108" i="7"/>
  <c r="B107" i="7"/>
  <c r="B109" i="21" l="1"/>
  <c r="A110" i="21"/>
  <c r="A109" i="7"/>
  <c r="B108" i="7"/>
  <c r="B110" i="21" l="1"/>
  <c r="A111" i="21"/>
  <c r="A110" i="7"/>
  <c r="B109" i="7"/>
  <c r="B111" i="21" l="1"/>
  <c r="A112" i="21"/>
  <c r="B110" i="7"/>
  <c r="A111" i="7"/>
  <c r="A113" i="21" l="1"/>
  <c r="B112" i="21"/>
  <c r="A112" i="7"/>
  <c r="B111" i="7"/>
  <c r="A114" i="21" l="1"/>
  <c r="B113" i="21"/>
  <c r="B112" i="7"/>
  <c r="A113" i="7"/>
  <c r="B114" i="21" l="1"/>
  <c r="A115" i="21"/>
  <c r="A114" i="7"/>
  <c r="B113" i="7"/>
  <c r="A116" i="21" l="1"/>
  <c r="B115" i="21"/>
  <c r="A115" i="7"/>
  <c r="B114" i="7"/>
  <c r="B116" i="21" l="1"/>
  <c r="A117" i="21"/>
  <c r="A116" i="7"/>
  <c r="B115" i="7"/>
  <c r="B117" i="21" l="1"/>
  <c r="A118" i="21"/>
  <c r="A117" i="7"/>
  <c r="B116" i="7"/>
  <c r="A119" i="21" l="1"/>
  <c r="B118" i="21"/>
  <c r="A118" i="7"/>
  <c r="B117" i="7"/>
  <c r="A120" i="21" l="1"/>
  <c r="B119" i="21"/>
  <c r="B118" i="7"/>
  <c r="A119" i="7"/>
  <c r="A121" i="21" l="1"/>
  <c r="B120" i="21"/>
  <c r="B119" i="7"/>
  <c r="A120" i="7"/>
  <c r="A122" i="21" l="1"/>
  <c r="B121" i="21"/>
  <c r="A121" i="7"/>
  <c r="B120" i="7"/>
  <c r="B122" i="21" l="1"/>
  <c r="A123" i="21"/>
  <c r="A122" i="7"/>
  <c r="B121" i="7"/>
  <c r="A124" i="21" l="1"/>
  <c r="B123" i="21"/>
  <c r="A123" i="7"/>
  <c r="B122" i="7"/>
  <c r="A125" i="21" l="1"/>
  <c r="B124" i="21"/>
  <c r="A124" i="7"/>
  <c r="B123" i="7"/>
  <c r="A126" i="21" l="1"/>
  <c r="B125" i="21"/>
  <c r="A125" i="7"/>
  <c r="B124" i="7"/>
  <c r="B126" i="21" l="1"/>
  <c r="A127" i="21"/>
  <c r="A126" i="7"/>
  <c r="B125" i="7"/>
  <c r="B127" i="21" l="1"/>
  <c r="A128" i="21"/>
  <c r="B126" i="7"/>
  <c r="A127" i="7"/>
  <c r="A129" i="21" l="1"/>
  <c r="B128" i="21"/>
  <c r="B127" i="7"/>
  <c r="A128" i="7"/>
  <c r="A130" i="21" l="1"/>
  <c r="B129" i="21"/>
  <c r="A129" i="7"/>
  <c r="B128" i="7"/>
  <c r="A131" i="21" l="1"/>
  <c r="B130" i="21"/>
  <c r="A130" i="7"/>
  <c r="B129" i="7"/>
  <c r="B131" i="21" l="1"/>
  <c r="A132" i="21"/>
  <c r="A131" i="7"/>
  <c r="B130" i="7"/>
  <c r="A133" i="21" l="1"/>
  <c r="B132" i="21"/>
  <c r="A132" i="7"/>
  <c r="B131" i="7"/>
  <c r="B133" i="21" l="1"/>
  <c r="A134" i="21"/>
  <c r="A133" i="7"/>
  <c r="B132" i="7"/>
  <c r="B134" i="21" l="1"/>
  <c r="A135" i="21"/>
  <c r="A134" i="7"/>
  <c r="B133" i="7"/>
  <c r="B135" i="21" l="1"/>
  <c r="A136" i="21"/>
  <c r="B134" i="7"/>
  <c r="A135" i="7"/>
  <c r="A137" i="21" l="1"/>
  <c r="B136" i="21"/>
  <c r="B135" i="7"/>
  <c r="A136" i="7"/>
  <c r="A138" i="21" l="1"/>
  <c r="B137" i="21"/>
  <c r="A137" i="7"/>
  <c r="B136" i="7"/>
  <c r="B138" i="21" l="1"/>
  <c r="A139" i="21"/>
  <c r="B137" i="7"/>
  <c r="A138" i="7"/>
  <c r="A140" i="21" l="1"/>
  <c r="B139" i="21"/>
  <c r="A139" i="7"/>
  <c r="B138" i="7"/>
  <c r="A141" i="21" l="1"/>
  <c r="B140" i="21"/>
  <c r="A140" i="7"/>
  <c r="B139" i="7"/>
  <c r="A142" i="21" l="1"/>
  <c r="B141" i="21"/>
  <c r="A141" i="7"/>
  <c r="B140" i="7"/>
  <c r="A143" i="21" l="1"/>
  <c r="B142" i="21"/>
  <c r="A142" i="7"/>
  <c r="B141" i="7"/>
  <c r="A144" i="21" l="1"/>
  <c r="B143" i="21"/>
  <c r="B142" i="7"/>
  <c r="A143" i="7"/>
  <c r="A145" i="21" l="1"/>
  <c r="B144" i="21"/>
  <c r="A144" i="7"/>
  <c r="B143" i="7"/>
  <c r="A146" i="21" l="1"/>
  <c r="B145" i="21"/>
  <c r="A145" i="7"/>
  <c r="B144" i="7"/>
  <c r="B146" i="21" l="1"/>
  <c r="A147" i="21"/>
  <c r="B145" i="7"/>
  <c r="A146" i="7"/>
  <c r="A148" i="21" l="1"/>
  <c r="B147" i="21"/>
  <c r="A147" i="7"/>
  <c r="B146" i="7"/>
  <c r="B148" i="21" l="1"/>
  <c r="A149" i="21"/>
  <c r="B147" i="7"/>
  <c r="A148" i="7"/>
  <c r="A150" i="21" l="1"/>
  <c r="B149" i="21"/>
  <c r="A149" i="7"/>
  <c r="B148" i="7"/>
  <c r="B150" i="21" l="1"/>
  <c r="A151" i="21"/>
  <c r="A150" i="7"/>
  <c r="B149" i="7"/>
  <c r="A152" i="21" l="1"/>
  <c r="B151" i="21"/>
  <c r="B150" i="7"/>
  <c r="A151" i="7"/>
  <c r="A153" i="21" l="1"/>
  <c r="B152" i="21"/>
  <c r="A152" i="7"/>
  <c r="B151" i="7"/>
  <c r="A154" i="21" l="1"/>
  <c r="B153" i="21"/>
  <c r="B152" i="7"/>
  <c r="A153" i="7"/>
  <c r="B154" i="21" l="1"/>
  <c r="A155" i="21"/>
  <c r="A154" i="7"/>
  <c r="B153" i="7"/>
  <c r="B155" i="21" l="1"/>
  <c r="A156" i="21"/>
  <c r="A155" i="7"/>
  <c r="B154" i="7"/>
  <c r="A157" i="21" l="1"/>
  <c r="B156" i="21"/>
  <c r="A156" i="7"/>
  <c r="B155" i="7"/>
  <c r="B157" i="21" l="1"/>
  <c r="A158" i="21"/>
  <c r="A157" i="7"/>
  <c r="B156" i="7"/>
  <c r="A159" i="21" l="1"/>
  <c r="B158" i="21"/>
  <c r="A158" i="7"/>
  <c r="B157" i="7"/>
  <c r="A160" i="21" l="1"/>
  <c r="B159" i="21"/>
  <c r="B158" i="7"/>
  <c r="A159" i="7"/>
  <c r="A161" i="21" l="1"/>
  <c r="B160" i="21"/>
  <c r="B159" i="7"/>
  <c r="A160" i="7"/>
  <c r="A162" i="21" l="1"/>
  <c r="B161" i="21"/>
  <c r="B160" i="7"/>
  <c r="A161" i="7"/>
  <c r="B162" i="21" l="1"/>
  <c r="A163" i="21"/>
  <c r="A162" i="7"/>
  <c r="B161" i="7"/>
  <c r="B163" i="21" l="1"/>
  <c r="A164" i="21"/>
  <c r="A163" i="7"/>
  <c r="B162" i="7"/>
  <c r="B164" i="21" l="1"/>
  <c r="A165" i="21"/>
  <c r="A164" i="7"/>
  <c r="B163" i="7"/>
  <c r="B165" i="21" l="1"/>
  <c r="A166" i="21"/>
  <c r="A165" i="7"/>
  <c r="B164" i="7"/>
  <c r="A167" i="21" l="1"/>
  <c r="B166" i="21"/>
  <c r="A166" i="7"/>
  <c r="B165" i="7"/>
  <c r="A168" i="21" l="1"/>
  <c r="B167" i="21"/>
  <c r="B166" i="7"/>
  <c r="A167" i="7"/>
  <c r="A169" i="21" l="1"/>
  <c r="B168" i="21"/>
  <c r="A168" i="7"/>
  <c r="B167" i="7"/>
  <c r="A170" i="21" l="1"/>
  <c r="B169" i="21"/>
  <c r="B168" i="7"/>
  <c r="A169" i="7"/>
  <c r="B170" i="21" l="1"/>
  <c r="A171" i="21"/>
  <c r="A170" i="7"/>
  <c r="B169" i="7"/>
  <c r="A172" i="21" l="1"/>
  <c r="B171" i="21"/>
  <c r="A171" i="7"/>
  <c r="B170" i="7"/>
  <c r="A173" i="21" l="1"/>
  <c r="B172" i="21"/>
  <c r="A172" i="7"/>
  <c r="B171" i="7"/>
  <c r="B173" i="21" l="1"/>
  <c r="A174" i="21"/>
  <c r="A173" i="7"/>
  <c r="B172" i="7"/>
  <c r="B174" i="21" l="1"/>
  <c r="A175" i="21"/>
  <c r="A174" i="7"/>
  <c r="B173" i="7"/>
  <c r="B175" i="21" l="1"/>
  <c r="A176" i="21"/>
  <c r="B174" i="7"/>
  <c r="A175" i="7"/>
  <c r="A177" i="21" l="1"/>
  <c r="B176" i="21"/>
  <c r="B175" i="7"/>
  <c r="A176" i="7"/>
  <c r="A178" i="21" l="1"/>
  <c r="B177" i="21"/>
  <c r="A177" i="7"/>
  <c r="B176" i="7"/>
  <c r="B178" i="21" l="1"/>
  <c r="A179" i="21"/>
  <c r="B177" i="7"/>
  <c r="A178" i="7"/>
  <c r="B179" i="21" l="1"/>
  <c r="A180" i="21"/>
  <c r="A179" i="7"/>
  <c r="B178" i="7"/>
  <c r="A181" i="21" l="1"/>
  <c r="B180" i="21"/>
  <c r="A180" i="7"/>
  <c r="B179" i="7"/>
  <c r="A182" i="21" l="1"/>
  <c r="B181" i="21"/>
  <c r="A181" i="7"/>
  <c r="B180" i="7"/>
  <c r="A183" i="21" l="1"/>
  <c r="B182" i="21"/>
  <c r="A182" i="7"/>
  <c r="B181" i="7"/>
  <c r="A184" i="21" l="1"/>
  <c r="B183" i="21"/>
  <c r="B182" i="7"/>
  <c r="A183" i="7"/>
  <c r="A185" i="21" l="1"/>
  <c r="B184" i="21"/>
  <c r="B183" i="7"/>
  <c r="A184" i="7"/>
  <c r="A186" i="21" l="1"/>
  <c r="B185" i="21"/>
  <c r="A185" i="7"/>
  <c r="B184" i="7"/>
  <c r="B186" i="21" l="1"/>
  <c r="A187" i="21"/>
  <c r="B185" i="7"/>
  <c r="A186" i="7"/>
  <c r="B187" i="21" l="1"/>
  <c r="A188" i="21"/>
  <c r="A187" i="7"/>
  <c r="B186" i="7"/>
  <c r="A189" i="21" l="1"/>
  <c r="B188" i="21"/>
  <c r="B187" i="7"/>
  <c r="A188" i="7"/>
  <c r="A190" i="21" l="1"/>
  <c r="B189" i="21"/>
  <c r="A189" i="7"/>
  <c r="B188" i="7"/>
  <c r="A191" i="21" l="1"/>
  <c r="B190" i="21"/>
  <c r="A190" i="7"/>
  <c r="B189" i="7"/>
  <c r="B191" i="21" l="1"/>
  <c r="A192" i="21"/>
  <c r="B190" i="7"/>
  <c r="A191" i="7"/>
  <c r="A193" i="21" l="1"/>
  <c r="B192" i="21"/>
  <c r="A192" i="7"/>
  <c r="B191" i="7"/>
  <c r="A194" i="21" l="1"/>
  <c r="B193" i="21"/>
  <c r="A193" i="7"/>
  <c r="B192" i="7"/>
  <c r="A195" i="21" l="1"/>
  <c r="B194" i="21"/>
  <c r="B193" i="7"/>
  <c r="A194" i="7"/>
  <c r="A196" i="21" l="1"/>
  <c r="B195" i="21"/>
  <c r="A195" i="7"/>
  <c r="B194" i="7"/>
  <c r="A197" i="21" l="1"/>
  <c r="B196" i="21"/>
  <c r="B195" i="7"/>
  <c r="A196" i="7"/>
  <c r="A198" i="21" l="1"/>
  <c r="B197" i="21"/>
  <c r="A197" i="7"/>
  <c r="B196" i="7"/>
  <c r="A199" i="21" l="1"/>
  <c r="B198" i="21"/>
  <c r="A198" i="7"/>
  <c r="B197" i="7"/>
  <c r="B199" i="21" l="1"/>
  <c r="A200" i="21"/>
  <c r="B198" i="7"/>
  <c r="A199" i="7"/>
  <c r="A201" i="21" l="1"/>
  <c r="B200" i="21"/>
  <c r="A200" i="7"/>
  <c r="B199" i="7"/>
  <c r="A202" i="21" l="1"/>
  <c r="B201" i="21"/>
  <c r="A201" i="7"/>
  <c r="B200" i="7"/>
  <c r="B202" i="21" l="1"/>
  <c r="A203" i="21"/>
  <c r="A202" i="7"/>
  <c r="B201" i="7"/>
  <c r="A204" i="21" l="1"/>
  <c r="B203" i="21"/>
  <c r="A203" i="7"/>
  <c r="B202" i="7"/>
  <c r="A205" i="21" l="1"/>
  <c r="B204" i="21"/>
  <c r="A204" i="7"/>
  <c r="B203" i="7"/>
  <c r="A206" i="21" l="1"/>
  <c r="B205" i="21"/>
  <c r="A205" i="7"/>
  <c r="B204" i="7"/>
  <c r="B206" i="21" l="1"/>
  <c r="A207" i="21"/>
  <c r="A206" i="7"/>
  <c r="B205" i="7"/>
  <c r="B207" i="21" l="1"/>
  <c r="A208" i="21"/>
  <c r="B206" i="7"/>
  <c r="A207" i="7"/>
  <c r="A209" i="21" l="1"/>
  <c r="B208" i="21"/>
  <c r="A208" i="7"/>
  <c r="B207" i="7"/>
  <c r="A210" i="21" l="1"/>
  <c r="B209" i="21"/>
  <c r="B208" i="7"/>
  <c r="A209" i="7"/>
  <c r="B210" i="21" l="1"/>
  <c r="A211" i="21"/>
  <c r="A210" i="7"/>
  <c r="B209" i="7"/>
  <c r="A212" i="21" l="1"/>
  <c r="B211" i="21"/>
  <c r="A211" i="7"/>
  <c r="B210" i="7"/>
  <c r="A213" i="21" l="1"/>
  <c r="B212" i="21"/>
  <c r="A212" i="7"/>
  <c r="B211" i="7"/>
  <c r="B213" i="21" l="1"/>
  <c r="A214" i="21"/>
  <c r="A213" i="7"/>
  <c r="B212" i="7"/>
  <c r="A215" i="21" l="1"/>
  <c r="B214" i="21"/>
  <c r="A214" i="7"/>
  <c r="B213" i="7"/>
  <c r="B215" i="21" l="1"/>
  <c r="A216" i="21"/>
  <c r="B214" i="7"/>
  <c r="A215" i="7"/>
  <c r="A217" i="21" l="1"/>
  <c r="B216" i="21"/>
  <c r="A216" i="7"/>
  <c r="B215" i="7"/>
  <c r="A218" i="21" l="1"/>
  <c r="B217" i="21"/>
  <c r="A217" i="7"/>
  <c r="B216" i="7"/>
  <c r="B218" i="21" l="1"/>
  <c r="A219" i="21"/>
  <c r="A218" i="7"/>
  <c r="B217" i="7"/>
  <c r="A220" i="21" l="1"/>
  <c r="B219" i="21"/>
  <c r="A219" i="7"/>
  <c r="B218" i="7"/>
  <c r="B220" i="21" l="1"/>
  <c r="A221" i="21"/>
  <c r="B219" i="7"/>
  <c r="A220" i="7"/>
  <c r="A222" i="21" l="1"/>
  <c r="B221" i="21"/>
  <c r="A221" i="7"/>
  <c r="B220" i="7"/>
  <c r="A223" i="21" l="1"/>
  <c r="B222" i="21"/>
  <c r="A222" i="7"/>
  <c r="B221" i="7"/>
  <c r="A224" i="21" l="1"/>
  <c r="B223" i="21"/>
  <c r="B222" i="7"/>
  <c r="A223" i="7"/>
  <c r="A225" i="21" l="1"/>
  <c r="B224" i="21"/>
  <c r="B223" i="7"/>
  <c r="A224" i="7"/>
  <c r="A226" i="21" l="1"/>
  <c r="B225" i="21"/>
  <c r="A225" i="7"/>
  <c r="B224" i="7"/>
  <c r="B226" i="21" l="1"/>
  <c r="A227" i="21"/>
  <c r="A226" i="7"/>
  <c r="B225" i="7"/>
  <c r="A228" i="21" l="1"/>
  <c r="B227" i="21"/>
  <c r="A227" i="7"/>
  <c r="B226" i="7"/>
  <c r="A229" i="21" l="1"/>
  <c r="B228" i="21"/>
  <c r="A228" i="7"/>
  <c r="B227" i="7"/>
  <c r="B229" i="21" l="1"/>
  <c r="A230" i="21"/>
  <c r="A229" i="7"/>
  <c r="B228" i="7"/>
  <c r="B230" i="21" l="1"/>
  <c r="A231" i="21"/>
  <c r="A230" i="7"/>
  <c r="B229" i="7"/>
  <c r="A232" i="21" l="1"/>
  <c r="B231" i="21"/>
  <c r="B230" i="7"/>
  <c r="A231" i="7"/>
  <c r="A233" i="21" l="1"/>
  <c r="B232" i="21"/>
  <c r="B231" i="7"/>
  <c r="A232" i="7"/>
  <c r="A234" i="21" l="1"/>
  <c r="B233" i="21"/>
  <c r="A233" i="7"/>
  <c r="B232" i="7"/>
  <c r="A235" i="21" l="1"/>
  <c r="B234" i="21"/>
  <c r="B233" i="7"/>
  <c r="A234" i="7"/>
  <c r="A236" i="21" l="1"/>
  <c r="B235" i="21"/>
  <c r="A235" i="7"/>
  <c r="B234" i="7"/>
  <c r="B236" i="21" l="1"/>
  <c r="A237" i="21"/>
  <c r="A236" i="7"/>
  <c r="B235" i="7"/>
  <c r="A238" i="21" l="1"/>
  <c r="B237" i="21"/>
  <c r="A237" i="7"/>
  <c r="B236" i="7"/>
  <c r="B238" i="21" l="1"/>
  <c r="A239" i="21"/>
  <c r="A238" i="7"/>
  <c r="B237" i="7"/>
  <c r="B239" i="21" l="1"/>
  <c r="A240" i="21"/>
  <c r="B238" i="7"/>
  <c r="A239" i="7"/>
  <c r="A241" i="21" l="1"/>
  <c r="B240" i="21"/>
  <c r="A240" i="7"/>
  <c r="B239" i="7"/>
  <c r="A242" i="21" l="1"/>
  <c r="B241" i="21"/>
  <c r="A241" i="7"/>
  <c r="B240" i="7"/>
  <c r="B242" i="21" l="1"/>
  <c r="A243" i="21"/>
  <c r="A242" i="7"/>
  <c r="B241" i="7"/>
  <c r="B243" i="21" l="1"/>
  <c r="A244" i="21"/>
  <c r="A243" i="7"/>
  <c r="B242" i="7"/>
  <c r="A245" i="21" l="1"/>
  <c r="B244" i="21"/>
  <c r="B243" i="7"/>
  <c r="A244" i="7"/>
  <c r="B245" i="21" l="1"/>
  <c r="A246" i="21"/>
  <c r="A245" i="7"/>
  <c r="B244" i="7"/>
  <c r="B246" i="21" l="1"/>
  <c r="A247" i="21"/>
  <c r="A246" i="7"/>
  <c r="B245" i="7"/>
  <c r="A248" i="21" l="1"/>
  <c r="B247" i="21"/>
  <c r="B246" i="7"/>
  <c r="A247" i="7"/>
  <c r="A249" i="21" l="1"/>
  <c r="B248" i="21"/>
  <c r="A248" i="7"/>
  <c r="B247" i="7"/>
  <c r="A250" i="21" l="1"/>
  <c r="B249" i="21"/>
  <c r="B248" i="7"/>
  <c r="A249" i="7"/>
  <c r="B250" i="21" l="1"/>
  <c r="A251" i="21"/>
  <c r="A250" i="7"/>
  <c r="B249" i="7"/>
  <c r="B251" i="21" l="1"/>
  <c r="A252" i="21"/>
  <c r="A251" i="7"/>
  <c r="B250" i="7"/>
  <c r="A253" i="21" l="1"/>
  <c r="B252" i="21"/>
  <c r="A252" i="7"/>
  <c r="B251" i="7"/>
  <c r="A254" i="21" l="1"/>
  <c r="B253" i="21"/>
  <c r="A253" i="7"/>
  <c r="B252" i="7"/>
  <c r="A255" i="21" l="1"/>
  <c r="B254" i="21"/>
  <c r="A254" i="7"/>
  <c r="B253" i="7"/>
  <c r="B255" i="21" l="1"/>
  <c r="A256" i="21"/>
  <c r="B254" i="7"/>
  <c r="A255" i="7"/>
  <c r="A257" i="21" l="1"/>
  <c r="B256" i="21"/>
  <c r="A256" i="7"/>
  <c r="B255" i="7"/>
  <c r="A258" i="21" l="1"/>
  <c r="B258" i="21" s="1"/>
  <c r="B257" i="21"/>
  <c r="B256" i="7"/>
  <c r="A257" i="7"/>
  <c r="A258" i="7" l="1"/>
  <c r="B257" i="7"/>
  <c r="B258" i="7" l="1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<sst xmlns="http://schemas.openxmlformats.org/spreadsheetml/2006/main" count="977" uniqueCount="557">
  <si>
    <t>parameter</t>
  </si>
  <si>
    <t>value</t>
  </si>
  <si>
    <t>sheet_role</t>
  </si>
  <si>
    <t>personal_queue</t>
  </si>
  <si>
    <t>summary</t>
  </si>
  <si>
    <t>Add sheet dashboard</t>
  </si>
  <si>
    <t>Tbl_Start:AddParsonalTaskSheet</t>
  </si>
  <si>
    <t>owner_name</t>
  </si>
  <si>
    <t>Tbl_Start:AddProjectManagementSheet</t>
  </si>
  <si>
    <t>project_name</t>
  </si>
  <si>
    <t>project_category</t>
  </si>
  <si>
    <t>owner_primary</t>
  </si>
  <si>
    <t>financial_year</t>
  </si>
  <si>
    <t>Tbl_Start:index_header</t>
  </si>
  <si>
    <t>dashboard</t>
  </si>
  <si>
    <t>Project dashboard</t>
  </si>
  <si>
    <t>Tbl_Start:actions</t>
  </si>
  <si>
    <t>no</t>
  </si>
  <si>
    <t>action_id</t>
  </si>
  <si>
    <t>button</t>
  </si>
  <si>
    <t>note</t>
  </si>
  <si>
    <t>index_update</t>
  </si>
  <si>
    <t>インデックスを更新</t>
  </si>
  <si>
    <t>sort_sheets</t>
  </si>
  <si>
    <t>シートをソートする</t>
  </si>
  <si>
    <t>Tbl_Start:IndexTable</t>
  </si>
  <si>
    <t>sheet_name</t>
  </si>
  <si>
    <t>DEF_MoSCoW</t>
  </si>
  <si>
    <t>DEF_PJ-CATEGORY-FY-SEQ</t>
  </si>
  <si>
    <t>project</t>
  </si>
  <si>
    <t>Project management sheet template</t>
  </si>
  <si>
    <t>DEF_PT-Name</t>
  </si>
  <si>
    <t>Personal task management sheet template</t>
  </si>
  <si>
    <t>DEF_Parameter</t>
  </si>
  <si>
    <t>DEF_SheetPrefix</t>
  </si>
  <si>
    <t>DEF_owner</t>
  </si>
  <si>
    <t>DEF_project_category</t>
  </si>
  <si>
    <t>DEF_sheet_role</t>
  </si>
  <si>
    <t>DEF_story_point</t>
  </si>
  <si>
    <t>M_Cov_WBS-Obsidian</t>
  </si>
  <si>
    <t>role</t>
  </si>
  <si>
    <t>M_DoD_check</t>
  </si>
  <si>
    <t>M_Kanban_Status</t>
  </si>
  <si>
    <t>UI_AddSheet</t>
  </si>
  <si>
    <t>UI_ProjectIndex</t>
  </si>
  <si>
    <t>Tbl_Start:header_info</t>
  </si>
  <si>
    <t>review</t>
  </si>
  <si>
    <t>update_task_urgent</t>
  </si>
  <si>
    <t>緊急タスクを更新</t>
  </si>
  <si>
    <t>Tbl_Start:TaskUrgent</t>
  </si>
  <si>
    <t>src_project_id</t>
  </si>
  <si>
    <t>src_sheet_name</t>
  </si>
  <si>
    <t>task_id</t>
  </si>
  <si>
    <t>task_name</t>
  </si>
  <si>
    <t>owner_secondary</t>
  </si>
  <si>
    <t>Kanban_Status</t>
  </si>
  <si>
    <t>MoSCoW_Priority</t>
  </si>
  <si>
    <t>story_point</t>
  </si>
  <si>
    <t>DoD_check</t>
  </si>
  <si>
    <t>start_date</t>
  </si>
  <si>
    <t>end_date</t>
  </si>
  <si>
    <t>last_update</t>
  </si>
  <si>
    <t>update_flag</t>
  </si>
  <si>
    <t>feature_key</t>
  </si>
  <si>
    <t>sprint_id</t>
  </si>
  <si>
    <t>project_index_update</t>
  </si>
  <si>
    <t>プロジェクトインデックスを更新</t>
  </si>
  <si>
    <t>Tbl_Start:project_index</t>
  </si>
  <si>
    <t>project_id</t>
  </si>
  <si>
    <t>project_category2</t>
  </si>
  <si>
    <t>system_development</t>
  </si>
  <si>
    <t>Ushas</t>
  </si>
  <si>
    <t>&lt;-Index</t>
  </si>
  <si>
    <t>&lt;-ProjectIndex</t>
  </si>
  <si>
    <t>priority_value</t>
  </si>
  <si>
    <t>priority_urgency</t>
  </si>
  <si>
    <t>priority_moscow</t>
  </si>
  <si>
    <t>priority_score</t>
  </si>
  <si>
    <t>obsidian_path_form_vault_folder</t>
  </si>
  <si>
    <t>status</t>
  </si>
  <si>
    <t>paused</t>
  </si>
  <si>
    <t>caption</t>
  </si>
  <si>
    <t>butoon</t>
  </si>
  <si>
    <t>jump_next_update</t>
  </si>
  <si>
    <t>次の更新シートへ</t>
  </si>
  <si>
    <t>GoToNextUpdateSheet</t>
  </si>
  <si>
    <t>output_to_obsidian</t>
  </si>
  <si>
    <t>Obsidianへ出力する</t>
  </si>
  <si>
    <t>Tbl_Start:status</t>
  </si>
  <si>
    <t>number_of_tasks</t>
  </si>
  <si>
    <t>estimated_time_total</t>
  </si>
  <si>
    <t>composition_ratio_percent</t>
  </si>
  <si>
    <t>Backlog</t>
  </si>
  <si>
    <t>Todo</t>
  </si>
  <si>
    <t>Doing</t>
  </si>
  <si>
    <t>Review</t>
  </si>
  <si>
    <t>Done</t>
  </si>
  <si>
    <t>Blocked</t>
  </si>
  <si>
    <t>OnHold</t>
  </si>
  <si>
    <t>total</t>
  </si>
  <si>
    <t>Tbl_Start:schedule</t>
  </si>
  <si>
    <t>schedule</t>
  </si>
  <si>
    <t>team</t>
  </si>
  <si>
    <t>task_category</t>
  </si>
  <si>
    <t>Tbl_Start:TaskList</t>
  </si>
  <si>
    <t>PersonalNoteCaptured</t>
  </si>
  <si>
    <t>priority</t>
  </si>
  <si>
    <t>sort_order</t>
  </si>
  <si>
    <t>意味（日本語）</t>
  </si>
  <si>
    <t>summary_EN</t>
  </si>
  <si>
    <t>summary_ja</t>
  </si>
  <si>
    <t>is_active</t>
  </si>
  <si>
    <t>Must</t>
  </si>
  <si>
    <t>必須</t>
  </si>
  <si>
    <t>Mandatory for the release</t>
  </si>
  <si>
    <t>完成に絶対必要な要件</t>
  </si>
  <si>
    <t>Should</t>
  </si>
  <si>
    <t>推奨</t>
  </si>
  <si>
    <t>Should be included if possible</t>
  </si>
  <si>
    <t>できればリリースまでに含めたい</t>
  </si>
  <si>
    <t>Could</t>
  </si>
  <si>
    <t>任意</t>
  </si>
  <si>
    <t>Optional; nice-to-have</t>
  </si>
  <si>
    <t>将来的には欲しい</t>
  </si>
  <si>
    <t>Won’t</t>
  </si>
  <si>
    <t>今回はやらない</t>
  </si>
  <si>
    <t>Not planned for this release</t>
  </si>
  <si>
    <t>後回し・対象外</t>
  </si>
  <si>
    <t>PJ-CATEGORY-FY-SEQ</t>
  </si>
  <si>
    <t>infrastructure_construction</t>
  </si>
  <si>
    <t>update_parsonal_task</t>
  </si>
  <si>
    <t>プロジェクトから個人のタスクを取得する</t>
  </si>
  <si>
    <t>event_type</t>
  </si>
  <si>
    <t>title</t>
  </si>
  <si>
    <t>Tbl_Start:PersonalTask</t>
  </si>
  <si>
    <t>name</t>
  </si>
  <si>
    <t>type</t>
  </si>
  <si>
    <t>OBSIDIAN_PATH_FROM_SYSTEM_ROOT</t>
  </si>
  <si>
    <t>Obsidian path from system root</t>
  </si>
  <si>
    <t>C:\Dev</t>
  </si>
  <si>
    <t>TASK_PERSONAL_SHEET_NAME</t>
  </si>
  <si>
    <t>Personal task sheet name</t>
  </si>
  <si>
    <t>string</t>
  </si>
  <si>
    <t>DEF_Task_Personal_Name</t>
  </si>
  <si>
    <t>Project manager sheet name</t>
  </si>
  <si>
    <t>Update flag determination date</t>
  </si>
  <si>
    <t>PREFIX_PROJECT-MANAGEMENT-SHEET</t>
  </si>
  <si>
    <t>PJ-</t>
  </si>
  <si>
    <t>PREFIX_PARSONAL-TASK-SHEET</t>
  </si>
  <si>
    <t>PT-</t>
  </si>
  <si>
    <t>sheet_prefix</t>
  </si>
  <si>
    <t>Summary</t>
  </si>
  <si>
    <t>UI_</t>
  </si>
  <si>
    <t>User interface</t>
  </si>
  <si>
    <t>OUT_</t>
  </si>
  <si>
    <t>Output</t>
  </si>
  <si>
    <t>Project</t>
  </si>
  <si>
    <t>Personal task</t>
  </si>
  <si>
    <t>DEF_</t>
  </si>
  <si>
    <t>Define</t>
  </si>
  <si>
    <t>M_</t>
  </si>
  <si>
    <t>Master</t>
  </si>
  <si>
    <t>owner</t>
  </si>
  <si>
    <t>Aruna</t>
  </si>
  <si>
    <t>Mitra</t>
  </si>
  <si>
    <t>Varuna</t>
  </si>
  <si>
    <t>Agni</t>
  </si>
  <si>
    <t>Surya</t>
  </si>
  <si>
    <t>Soma</t>
  </si>
  <si>
    <t>category_id</t>
  </si>
  <si>
    <t>category_code</t>
  </si>
  <si>
    <t>display_name</t>
  </si>
  <si>
    <t>report_group</t>
  </si>
  <si>
    <t>DEV</t>
  </si>
  <si>
    <t>システム開発</t>
  </si>
  <si>
    <t>アプリケーション・業務システム・ツールの設計および実装</t>
  </si>
  <si>
    <t>development</t>
  </si>
  <si>
    <t>INFRA</t>
  </si>
  <si>
    <t>インフラ構築</t>
  </si>
  <si>
    <t>サーバ・ネットワーク・クラウド等の設計および構築作業</t>
  </si>
  <si>
    <t>delivery</t>
  </si>
  <si>
    <t>operation_maintenance</t>
  </si>
  <si>
    <t>OPS</t>
  </si>
  <si>
    <t>運用保守</t>
  </si>
  <si>
    <t>既存システム・インフラの運用・保守・軽微な修正</t>
  </si>
  <si>
    <t>operation</t>
  </si>
  <si>
    <t>investigation</t>
  </si>
  <si>
    <t>INV</t>
  </si>
  <si>
    <t>調査・検証</t>
  </si>
  <si>
    <t>技術調査・要件整理・PoC・動作検証などの事前検討</t>
  </si>
  <si>
    <t>research</t>
  </si>
  <si>
    <t>improvement</t>
  </si>
  <si>
    <t>IMP</t>
  </si>
  <si>
    <t>改善・自動化</t>
  </si>
  <si>
    <t>業務効率化・自動化・プロセス改善のための活動</t>
  </si>
  <si>
    <t>internal</t>
  </si>
  <si>
    <t>documentation</t>
  </si>
  <si>
    <t>DOC</t>
  </si>
  <si>
    <t>資料作成</t>
  </si>
  <si>
    <t>設計書・手順書・マニュアル・説明資料の作成および更新</t>
  </si>
  <si>
    <t>support</t>
  </si>
  <si>
    <t>education</t>
  </si>
  <si>
    <t>EDU</t>
  </si>
  <si>
    <t>教育・育成</t>
  </si>
  <si>
    <t>研修・勉強会・OJT・ナレッジ共有活動</t>
  </si>
  <si>
    <t>quality_assurance</t>
  </si>
  <si>
    <t>QA</t>
  </si>
  <si>
    <t>品質保証</t>
  </si>
  <si>
    <t>レビュー・テスト・品質確認・是正対応</t>
  </si>
  <si>
    <t>quality</t>
  </si>
  <si>
    <t>INT</t>
  </si>
  <si>
    <t>内部対応</t>
  </si>
  <si>
    <t>上記に明確に分類できない内部業務</t>
  </si>
  <si>
    <t>role_name_jp</t>
  </si>
  <si>
    <t>role_name_en</t>
  </si>
  <si>
    <t>expected_table</t>
  </si>
  <si>
    <t>editable_policy</t>
  </si>
  <si>
    <t>プロジェクト原本</t>
  </si>
  <si>
    <t>Project Sheet</t>
  </si>
  <si>
    <t>プロジェクトの正（Source of Truth）。ProjectHeaderとTaskTableを保持</t>
  </si>
  <si>
    <t>ProjectHeader,TaskTable</t>
  </si>
  <si>
    <t>PJ側が正</t>
  </si>
  <si>
    <t>個人・集約ビューはここを参照する</t>
  </si>
  <si>
    <t>個人タスクキュー</t>
  </si>
  <si>
    <t>Personal Task Queue</t>
  </si>
  <si>
    <t>複数PJから個人向けにタスクを集約した実行ビュー</t>
  </si>
  <si>
    <t>PersonalTaskTable</t>
  </si>
  <si>
    <t>Personal列のみ編集可</t>
  </si>
  <si>
    <t>title等は原本参照</t>
  </si>
  <si>
    <t>backlog</t>
  </si>
  <si>
    <t>バックログ</t>
  </si>
  <si>
    <t>Backlog Sheet</t>
  </si>
  <si>
    <t>未着手・将来対応タスクの一覧</t>
  </si>
  <si>
    <t>TaskTable</t>
  </si>
  <si>
    <t>ReadOnly or Limited</t>
  </si>
  <si>
    <t>整理・棚卸し用</t>
  </si>
  <si>
    <t>レビュー用</t>
  </si>
  <si>
    <t>Review Sheet</t>
  </si>
  <si>
    <t>振り返り・週次/月次レビュー用の集約ビュー</t>
  </si>
  <si>
    <t>ReviewTaskTable</t>
  </si>
  <si>
    <t>ReadOnly</t>
  </si>
  <si>
    <t>実績確認・分析用</t>
  </si>
  <si>
    <t>archive</t>
  </si>
  <si>
    <t>アーカイブ</t>
  </si>
  <si>
    <t>Archive Sheet</t>
  </si>
  <si>
    <t>完了・廃止済みPJやタスクの保管</t>
  </si>
  <si>
    <t>原則更新しない</t>
  </si>
  <si>
    <t>ダッシュボード</t>
  </si>
  <si>
    <t>Dashboard Sheet</t>
  </si>
  <si>
    <t>KPI・進捗・比率などの可視化</t>
  </si>
  <si>
    <t>ViewTables</t>
  </si>
  <si>
    <t>数式・表示専用</t>
  </si>
  <si>
    <t>config</t>
  </si>
  <si>
    <t>設定</t>
  </si>
  <si>
    <t>Configuration Sheet</t>
  </si>
  <si>
    <t>設定値・定数・マスタ管理</t>
  </si>
  <si>
    <t>ConfigTable</t>
  </si>
  <si>
    <t>AdminOnly</t>
  </si>
  <si>
    <t>Cfg_* と対応</t>
  </si>
  <si>
    <t>index</t>
  </si>
  <si>
    <t>インデックス</t>
  </si>
  <si>
    <t>Index Sheet</t>
  </si>
  <si>
    <t>ブック内シート・PJ一覧の管理</t>
  </si>
  <si>
    <t>IndexTable</t>
  </si>
  <si>
    <t>SystemOnly</t>
  </si>
  <si>
    <t>自動生成前提</t>
  </si>
  <si>
    <t>意味合い（日本語）</t>
  </si>
  <si>
    <t>Meaning_EN</t>
  </si>
  <si>
    <t>推定時間目安</t>
  </si>
  <si>
    <t>すぐできる（〜1時間）</t>
  </si>
  <si>
    <t>Very small (within 1 hour)</t>
  </si>
  <si>
    <t>~1 hour</t>
  </si>
  <si>
    <t>簡単（〜2時間）</t>
  </si>
  <si>
    <t>Small task (around 2 hours)</t>
  </si>
  <si>
    <t>~2 hours</t>
  </si>
  <si>
    <t>小さめ（半日程度）</t>
  </si>
  <si>
    <t>Small-medium (half day)</t>
  </si>
  <si>
    <t>~0.5 day</t>
  </si>
  <si>
    <t>中くらい（1日以内）</t>
  </si>
  <si>
    <t>Medium (within 1 day)</t>
  </si>
  <si>
    <t>~1 day</t>
  </si>
  <si>
    <t>やや大きい（1日以上）</t>
  </si>
  <si>
    <t>Large (1+ days)</t>
  </si>
  <si>
    <t>1–2 days</t>
  </si>
  <si>
    <t>複雑・不確定要素あり（2〜3日）</t>
  </si>
  <si>
    <t>Complex or uncertain (2–3 days)</t>
  </si>
  <si>
    <t>2–3 days</t>
  </si>
  <si>
    <t>非常に大きい・分割推奨</t>
  </si>
  <si>
    <t>Very large; should be split</t>
  </si>
  <si>
    <t>3+ days</t>
  </si>
  <si>
    <t>ProjectManager</t>
  </si>
  <si>
    <t>Obsidian</t>
  </si>
  <si>
    <t>projectGroup</t>
  </si>
  <si>
    <t>-</t>
  </si>
  <si>
    <t>updated</t>
  </si>
  <si>
    <t>project_status</t>
  </si>
  <si>
    <t>task_status</t>
  </si>
  <si>
    <t>estimate</t>
  </si>
  <si>
    <t>dod_id</t>
  </si>
  <si>
    <t>dod_name</t>
  </si>
  <si>
    <t>is_required</t>
  </si>
  <si>
    <t>check_target</t>
  </si>
  <si>
    <t>check_type</t>
  </si>
  <si>
    <t>check_expression</t>
  </si>
  <si>
    <t>owner_role</t>
  </si>
  <si>
    <t>apply_scope</t>
  </si>
  <si>
    <t>block_on_fail</t>
  </si>
  <si>
    <t>DoD_01</t>
  </si>
  <si>
    <t>RequirementDocumented</t>
  </si>
  <si>
    <t>task</t>
  </si>
  <si>
    <t>text_nonempty</t>
  </si>
  <si>
    <t>タスクの目的・成果が文章で記載されている</t>
  </si>
  <si>
    <t>DoD_02</t>
  </si>
  <si>
    <t>AcceptanceCriteriaDefined</t>
  </si>
  <si>
    <t>assignee</t>
  </si>
  <si>
    <t>Doneと判定できる条件が明示されている</t>
  </si>
  <si>
    <t>DoD_03</t>
  </si>
  <si>
    <t>AssigneeAssigned</t>
  </si>
  <si>
    <t>value_exists</t>
  </si>
  <si>
    <t>owner/assignee が設定されている</t>
  </si>
  <si>
    <t>DoD_04</t>
  </si>
  <si>
    <t>DueDateSet</t>
  </si>
  <si>
    <t>date_valid</t>
  </si>
  <si>
    <t>end_date が空でなく妥当な日付</t>
  </si>
  <si>
    <t>DoD_05</t>
  </si>
  <si>
    <t>StoryPointEstimated</t>
  </si>
  <si>
    <t>見積りが未設定のタスクは完了不可</t>
  </si>
  <si>
    <t>DoD_06</t>
  </si>
  <si>
    <t>DependenciesResolved</t>
  </si>
  <si>
    <t>flag_false</t>
  </si>
  <si>
    <t>depends_on</t>
  </si>
  <si>
    <t>依存タスクが残っていない</t>
  </si>
  <si>
    <t>DoD_07</t>
  </si>
  <si>
    <t>DeliverableLinked</t>
  </si>
  <si>
    <t>links</t>
  </si>
  <si>
    <t>成果物・参考リンクが添付されている</t>
  </si>
  <si>
    <t>DoD_08</t>
  </si>
  <si>
    <t>Reviewed</t>
  </si>
  <si>
    <t>flag_true</t>
  </si>
  <si>
    <t>reviewed</t>
  </si>
  <si>
    <t>reviewer</t>
  </si>
  <si>
    <t>レビュー完了フラグがON</t>
  </si>
  <si>
    <t>DoD_09</t>
  </si>
  <si>
    <t>personal</t>
  </si>
  <si>
    <t>personal_note</t>
  </si>
  <si>
    <t>作業メモが個人キューに記録されている</t>
  </si>
  <si>
    <t>DoD_10</t>
  </si>
  <si>
    <t>DoDValidatedOnDone</t>
  </si>
  <si>
    <t>status_equals</t>
  </si>
  <si>
    <t>kanban_status=Done</t>
  </si>
  <si>
    <t>system</t>
  </si>
  <si>
    <t>Done移動時にDoDを全件チェック</t>
  </si>
  <si>
    <t>Tbl_Start:Kanban_Status</t>
  </si>
  <si>
    <t>Sort_Order</t>
  </si>
  <si>
    <t>説明（日本語）</t>
  </si>
  <si>
    <t>Explanation (EN)</t>
  </si>
  <si>
    <t>想定トリガー</t>
  </si>
  <si>
    <t>やるかもしれないが、まだスプリントや具体的な着手時期が決まっていない項目</t>
  </si>
  <si>
    <t>Planned but not yet committed to a specific sprint.</t>
  </si>
  <si>
    <t>アイデア出し、プロダクトバックログへの登録時</t>
  </si>
  <si>
    <t>スプリント内で着手予定のタスク。担当や優先度が決まっている</t>
  </si>
  <si>
    <t>Ready to be started in the current sprint.</t>
  </si>
  <si>
    <t>スプリントプランニング完了時</t>
  </si>
  <si>
    <t>現在作業中のタスク</t>
  </si>
  <si>
    <t>In progress (being worked on).</t>
  </si>
  <si>
    <t>実際に手を付け始めたときに Todo → Doing</t>
  </si>
  <si>
    <t>実装は完了し、レビュー／テスト待ちの状態</t>
  </si>
  <si>
    <t>Implementation done, waiting for review or testing.</t>
  </si>
  <si>
    <t>プルリク作成、レビュー依頼、テスト待ちのタイミング</t>
  </si>
  <si>
    <t>定義されたDoDを満たし、レビューも完了した状態</t>
  </si>
  <si>
    <t>Fully done according to DoD.</t>
  </si>
  <si>
    <t>レビュー承認・テスト完了・本番反映完了など</t>
  </si>
  <si>
    <t>外部要因や依存タスクの遅延などで作業を継続できない状態</t>
  </si>
  <si>
    <t>Cannot proceed due to external dependency or blocker.</t>
  </si>
  <si>
    <t>他チーム待ち、環境障害、仕様保留など</t>
  </si>
  <si>
    <t>優先度・方針変更などにより一時的に保留している状態</t>
  </si>
  <si>
    <t>Intentionally paused due to priority or scope change.</t>
  </si>
  <si>
    <t>一旦ストップの判断がされたタイミング</t>
  </si>
  <si>
    <t>project_name</t>
    <phoneticPr fontId="3"/>
  </si>
  <si>
    <t>DEF_PJ-CATEGORY-FY-SEQ</t>
    <phoneticPr fontId="3"/>
  </si>
  <si>
    <t>OUT_TaskUrgent</t>
  </si>
  <si>
    <t>Tbl_Start:Parameter</t>
    <phoneticPr fontId="3"/>
  </si>
  <si>
    <t>DEF_PROJECT_SHEET_NAME</t>
    <phoneticPr fontId="3"/>
  </si>
  <si>
    <t>sheet_name</t>
    <phoneticPr fontId="3"/>
  </si>
  <si>
    <t>LAST-MTG-DATE</t>
    <phoneticPr fontId="3"/>
  </si>
  <si>
    <t>update_last_mtg_date</t>
    <phoneticPr fontId="3"/>
  </si>
  <si>
    <t>更新フラグ判定用基準日を今日にする。</t>
    <rPh sb="0" eb="2">
      <t>コウシン</t>
    </rPh>
    <rPh sb="5" eb="8">
      <t>ハンテイヨウ</t>
    </rPh>
    <rPh sb="8" eb="11">
      <t>キジュンビ</t>
    </rPh>
    <rPh sb="12" eb="14">
      <t>キョウ</t>
    </rPh>
    <phoneticPr fontId="3"/>
  </si>
  <si>
    <t>update_all</t>
    <phoneticPr fontId="3"/>
  </si>
  <si>
    <t>全てのIndex、個人タスク、Obsidianを更新する。</t>
    <rPh sb="0" eb="1">
      <t>スベ</t>
    </rPh>
    <rPh sb="9" eb="11">
      <t>コジン</t>
    </rPh>
    <rPh sb="24" eb="26">
      <t>コウシン</t>
    </rPh>
    <phoneticPr fontId="3"/>
  </si>
  <si>
    <t>All project index</t>
    <phoneticPr fontId="3"/>
  </si>
  <si>
    <t>All sheet index</t>
    <phoneticPr fontId="3"/>
  </si>
  <si>
    <t>IN_</t>
    <phoneticPr fontId="3"/>
  </si>
  <si>
    <t>TMP_</t>
    <phoneticPr fontId="3"/>
  </si>
  <si>
    <t>LOG_</t>
    <phoneticPr fontId="3"/>
  </si>
  <si>
    <t>Input template</t>
    <phoneticPr fontId="3"/>
  </si>
  <si>
    <t>Intermediate processing</t>
    <phoneticPr fontId="3"/>
  </si>
  <si>
    <t>Log/history</t>
    <phoneticPr fontId="3"/>
  </si>
  <si>
    <t>Tbl_Start:header_info</t>
    <phoneticPr fontId="3"/>
  </si>
  <si>
    <t>Change history</t>
    <phoneticPr fontId="3"/>
  </si>
  <si>
    <t>version</t>
    <phoneticPr fontId="3"/>
  </si>
  <si>
    <t>id</t>
    <phoneticPr fontId="3"/>
  </si>
  <si>
    <t>release_date</t>
    <phoneticPr fontId="3"/>
  </si>
  <si>
    <t>type</t>
    <phoneticPr fontId="3"/>
  </si>
  <si>
    <t>module</t>
    <phoneticPr fontId="3"/>
  </si>
  <si>
    <t>title</t>
    <phoneticPr fontId="3"/>
  </si>
  <si>
    <t>description</t>
    <phoneticPr fontId="3"/>
  </si>
  <si>
    <t>author</t>
    <phoneticPr fontId="3"/>
  </si>
  <si>
    <t>status</t>
    <phoneticPr fontId="3"/>
  </si>
  <si>
    <t>feat</t>
  </si>
  <si>
    <t>新機能追加</t>
  </si>
  <si>
    <t>feat/add-task-urgent</t>
  </si>
  <si>
    <t>fix</t>
  </si>
  <si>
    <t>不具合修正</t>
  </si>
  <si>
    <t>fix/urgent-filter-bug</t>
  </si>
  <si>
    <t>refactor</t>
  </si>
  <si>
    <t>内部構造改善（仕様変更なし）</t>
  </si>
  <si>
    <t>refactor/split-log-module</t>
  </si>
  <si>
    <t>perf</t>
  </si>
  <si>
    <t>性能改善</t>
  </si>
  <si>
    <t>perf/optimize-sheet-scan</t>
  </si>
  <si>
    <t>chore</t>
  </si>
  <si>
    <t>雑務・整理・依存更新</t>
  </si>
  <si>
    <t>chore/cleanup-unused-modules</t>
  </si>
  <si>
    <t>docs</t>
  </si>
  <si>
    <t>ドキュメント更新</t>
  </si>
  <si>
    <t>docs/update-readme</t>
  </si>
  <si>
    <t>設定・定義変更</t>
  </si>
  <si>
    <t>config/update-action-type</t>
  </si>
  <si>
    <t>style</t>
  </si>
  <si>
    <t>表記・命名・整形</t>
  </si>
  <si>
    <t>style/rename-sheet-prefix</t>
  </si>
  <si>
    <t>test</t>
  </si>
  <si>
    <t>テスト・検証</t>
  </si>
  <si>
    <t>test/add-regression-check</t>
  </si>
  <si>
    <t>sort_order</t>
    <phoneticPr fontId="3"/>
  </si>
  <si>
    <t>branch_prefix</t>
    <phoneticPr fontId="3"/>
  </si>
  <si>
    <t>example_branch</t>
    <phoneticPr fontId="3"/>
  </si>
  <si>
    <t>is_active</t>
    <phoneticPr fontId="3"/>
  </si>
  <si>
    <t>branch_name</t>
    <phoneticPr fontId="3"/>
  </si>
  <si>
    <t>DEF_ActionType</t>
  </si>
  <si>
    <t>LOG_UpdateHistory</t>
  </si>
  <si>
    <t>Change history</t>
  </si>
  <si>
    <t>UI_Dashboard</t>
  </si>
  <si>
    <t>Athena</t>
  </si>
  <si>
    <t>PJ-INFRA-26-01</t>
    <phoneticPr fontId="3"/>
  </si>
  <si>
    <t>infrastructure_construction</t>
    <phoneticPr fontId="3"/>
  </si>
  <si>
    <t>DevOps/worklogs</t>
    <phoneticPr fontId="3"/>
  </si>
  <si>
    <t>test</t>
    <phoneticPr fontId="3"/>
  </si>
  <si>
    <t>v1.2.0</t>
    <phoneticPr fontId="3"/>
  </si>
  <si>
    <t>Pst_UpdateAll.bas,Pst_OutputToObsidian.bas,Pst_UpdateLastMtgDate.bas</t>
    <phoneticPr fontId="3"/>
  </si>
  <si>
    <t>indexカラム修正</t>
    <phoneticPr fontId="3"/>
  </si>
  <si>
    <t>Urgent task list</t>
  </si>
  <si>
    <t>Urgent task list</t>
    <phoneticPr fontId="3"/>
  </si>
  <si>
    <t>event_type_en</t>
  </si>
  <si>
    <t>category</t>
  </si>
  <si>
    <t>scope_description</t>
  </si>
  <si>
    <t>example</t>
  </si>
  <si>
    <t>use_for_analysis</t>
  </si>
  <si>
    <t>is_billable</t>
  </si>
  <si>
    <t>default_priority</t>
  </si>
  <si>
    <t>MEETING</t>
  </si>
  <si>
    <t>Meeting</t>
  </si>
  <si>
    <t>Work</t>
  </si>
  <si>
    <t>社内外の会議、定例、打ち合わせ</t>
  </si>
  <si>
    <t>定例MTG, 顧客打合せ, 仕様確認</t>
  </si>
  <si>
    <t>FOCUS_WORK</t>
  </si>
  <si>
    <t>FocusWork</t>
  </si>
  <si>
    <t>中断なしで集中して行う設計・実装・検証作業</t>
  </si>
  <si>
    <t>設計, コーディング, 構成検証</t>
  </si>
  <si>
    <t>TASK</t>
  </si>
  <si>
    <t>Task</t>
  </si>
  <si>
    <t>比較的短時間で完結する作業単位</t>
  </si>
  <si>
    <t>設定修正, ドキュメント修正</t>
  </si>
  <si>
    <t>REVIEW</t>
  </si>
  <si>
    <t>成果物のレビュー、チェック、承認</t>
  </si>
  <si>
    <t>Configレビュー, PRレビュー</t>
  </si>
  <si>
    <t>STUDY</t>
  </si>
  <si>
    <t>Study</t>
  </si>
  <si>
    <t>Learning</t>
  </si>
  <si>
    <t>技術学習・資格勉強・調査</t>
  </si>
  <si>
    <t>応用情報勉強, RFC調査</t>
  </si>
  <si>
    <t>RESEARCH</t>
  </si>
  <si>
    <t>Research</t>
  </si>
  <si>
    <t>不確定要素の調査・検証</t>
  </si>
  <si>
    <t>PoC, 技術選定</t>
  </si>
  <si>
    <t>WriteDoc</t>
  </si>
  <si>
    <t>文書作成・整理</t>
  </si>
  <si>
    <t>手順書作成, 設計書</t>
  </si>
  <si>
    <t>OPERATION</t>
  </si>
  <si>
    <t>Operation</t>
  </si>
  <si>
    <t>定常運用・保守・監視</t>
  </si>
  <si>
    <t>障害対応, 定例作業</t>
  </si>
  <si>
    <t>INCIDENT</t>
  </si>
  <si>
    <t>Incident</t>
  </si>
  <si>
    <t>突発障害・緊急対応</t>
  </si>
  <si>
    <t>障害一次対応, 切戻</t>
  </si>
  <si>
    <t>DEPLOY</t>
  </si>
  <si>
    <t>Deploy</t>
  </si>
  <si>
    <t>リリース・設定投入・本番作業</t>
  </si>
  <si>
    <t>本番投入, 工事作業</t>
  </si>
  <si>
    <t>COMMUNICATION</t>
  </si>
  <si>
    <t>Communication</t>
  </si>
  <si>
    <t>チャット・メール等のやりとり</t>
  </si>
  <si>
    <t>Slack対応, メール返信</t>
  </si>
  <si>
    <t>ADMIN</t>
  </si>
  <si>
    <t>Admin</t>
  </si>
  <si>
    <t>事務・雑務・管理系作業</t>
  </si>
  <si>
    <t>勤怠, 精算, 報告書</t>
  </si>
  <si>
    <t>PERSONAL</t>
  </si>
  <si>
    <t>Personal</t>
  </si>
  <si>
    <t>Private</t>
  </si>
  <si>
    <t>私用・個人予定</t>
  </si>
  <si>
    <t>通院, 私用外出</t>
  </si>
  <si>
    <t>REST</t>
  </si>
  <si>
    <t>Rest</t>
  </si>
  <si>
    <t>休憩・回復時間</t>
  </si>
  <si>
    <t>昼休み, 仮眠</t>
  </si>
  <si>
    <t>IDEA</t>
  </si>
  <si>
    <t>Idea</t>
  </si>
  <si>
    <t>Creative</t>
  </si>
  <si>
    <t>構想・発想・設計思考</t>
  </si>
  <si>
    <t>TWLM思考, 構造整理</t>
  </si>
  <si>
    <t>BUFFER</t>
  </si>
  <si>
    <t>Buffer</t>
  </si>
  <si>
    <t>Control</t>
  </si>
  <si>
    <t>意図的な空白・調整用時間</t>
  </si>
  <si>
    <t>予備時間, 調整枠</t>
  </si>
  <si>
    <t>time_coverage</t>
  </si>
  <si>
    <t>time_coverage</t>
    <phoneticPr fontId="3"/>
  </si>
  <si>
    <t>coverage_en</t>
  </si>
  <si>
    <t>description</t>
  </si>
  <si>
    <t>hours_equiv</t>
  </si>
  <si>
    <t>is_blocking</t>
  </si>
  <si>
    <t>FULL_DAY</t>
  </si>
  <si>
    <t>Full day</t>
  </si>
  <si>
    <t>ほぼ全日拘束される予定</t>
  </si>
  <si>
    <t>HALF_DAY_AM</t>
  </si>
  <si>
    <t>Half day (AM)</t>
  </si>
  <si>
    <t>午前中のみ拘束</t>
  </si>
  <si>
    <t>HALF_DAY_PM</t>
  </si>
  <si>
    <t>Half day (PM)</t>
  </si>
  <si>
    <t>午後のみ拘束</t>
  </si>
  <si>
    <t>MAJORITY</t>
  </si>
  <si>
    <t>Majority day</t>
  </si>
  <si>
    <t>1日の大半を占有（4–6h）</t>
  </si>
  <si>
    <t>PARTIAL</t>
  </si>
  <si>
    <t>Partial</t>
  </si>
  <si>
    <t>一部時間のみ占有（1–3h）</t>
  </si>
  <si>
    <t>FLEX</t>
  </si>
  <si>
    <t>Flexible</t>
  </si>
  <si>
    <t>拘束はあるが割り込み可能</t>
  </si>
  <si>
    <t>NONE</t>
  </si>
  <si>
    <t>None</t>
  </si>
  <si>
    <t>占有なし（情報・メモ）</t>
  </si>
  <si>
    <t>DEF_event_type</t>
  </si>
  <si>
    <t>DEF_time_coverage</t>
  </si>
  <si>
    <t>PJ-INFRA-26-01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</si>
</sst>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\-mm\-dd\ h:mm:ss"/>
  </numFmts>
  <fonts count="10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indexed="6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9" fontId="1" fillId="0" borderId="0">
      <alignment vertical="center"/>
    </xf>
  </cellStyleXfs>
  <cellXfs count="31">
    <xf numFmtId="0" fontId="0" fillId="0" borderId="0" xfId="0">
      <alignment vertical="center"/>
    </xf>
    <xf numFmtId="0" fontId="0" fillId="0" borderId="0" xfId="0" applyAlignment="1"/>
    <xf numFmtId="0" fontId="4" fillId="0" borderId="0" xfId="1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9" fontId="0" fillId="0" borderId="0" xfId="2" applyFont="1">
      <alignment vertical="center"/>
    </xf>
    <xf numFmtId="0" fontId="6" fillId="0" borderId="0" xfId="0" applyFont="1">
      <alignment vertical="center"/>
    </xf>
    <xf numFmtId="14" fontId="6" fillId="0" borderId="0" xfId="0" applyNumberFormat="1" applyFont="1">
      <alignment vertical="center"/>
    </xf>
    <xf numFmtId="0" fontId="0" fillId="0" borderId="0" xfId="0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0" fontId="0" fillId="0" borderId="0" xfId="0" applyAlignment="1">
      <alignment vertical="center" wrapText="1"/>
    </xf>
    <xf numFmtId="0" fontId="6" fillId="0" borderId="0" xfId="0" applyFont="1" applyProtection="1">
      <alignment vertical="center"/>
      <protection locked="0"/>
    </xf>
    <xf numFmtId="14" fontId="6" fillId="0" borderId="0" xfId="0" applyNumberFormat="1" applyFont="1" applyProtection="1">
      <alignment vertical="center"/>
      <protection locked="0"/>
    </xf>
    <xf numFmtId="0" fontId="6" fillId="2" borderId="0" xfId="0" applyFont="1" applyFill="1" applyProtection="1">
      <alignment vertical="center"/>
      <protection locked="0"/>
    </xf>
    <xf numFmtId="0" fontId="0" fillId="0" borderId="1" xfId="0" applyBorder="1">
      <alignment vertical="center"/>
    </xf>
    <xf numFmtId="0" fontId="0" fillId="0" borderId="1" xfId="0" applyBorder="1" applyAlignment="1"/>
    <xf numFmtId="14" fontId="0" fillId="0" borderId="1" xfId="0" applyNumberFormat="1" applyBorder="1" applyAlignment="1"/>
    <xf numFmtId="0" fontId="7" fillId="0" borderId="0" xfId="0" applyFont="1">
      <alignment vertical="center"/>
    </xf>
    <xf numFmtId="0" fontId="7" fillId="0" borderId="0" xfId="0" applyFont="1" applyAlignment="1"/>
    <xf numFmtId="21" fontId="0" fillId="0" borderId="0" xfId="0" applyNumberFormat="1">
      <alignment vertical="center"/>
    </xf>
    <xf numFmtId="21" fontId="0" fillId="0" borderId="0" xfId="0" applyNumberFormat="1" applyAlignment="1"/>
    <xf numFmtId="176" fontId="0" fillId="0" borderId="0" xfId="0" applyNumberFormat="1" applyAlignment="1"/>
    <xf numFmtId="0" fontId="8" fillId="0" borderId="1" xfId="0" applyFont="1" applyBorder="1">
      <alignment vertical="center"/>
    </xf>
    <xf numFmtId="0" fontId="6" fillId="0" borderId="1" xfId="0" applyFont="1" applyBorder="1">
      <alignment vertical="center"/>
    </xf>
    <xf numFmtId="0" fontId="5" fillId="0" borderId="0" xfId="0" applyFont="1" applyProtection="1">
      <alignment vertical="center"/>
      <protection locked="0"/>
    </xf>
    <xf numFmtId="0" fontId="0" fillId="0" borderId="0" xfId="0" applyAlignment="1" applyProtection="1">
      <protection locked="0"/>
    </xf>
    <xf numFmtId="22" fontId="0" fillId="0" borderId="0" xfId="0" applyNumberFormat="1" applyAlignment="1"/>
    <xf numFmtId="14" fontId="0" fillId="0" borderId="0" xfId="0" applyNumberFormat="1" applyAlignment="1"/>
    <xf numFmtId="0" fontId="0" fillId="0" borderId="0" xfId="0" applyProtection="1">
      <alignment vertical="center"/>
    </xf>
    <xf numFmtId="0" fontId="6" fillId="0" borderId="0" xfId="0" applyFont="1" applyProtection="1">
      <alignment vertical="center"/>
    </xf>
    <xf numFmtId="14" fontId="6" fillId="0" borderId="0" xfId="0" applyNumberFormat="1" applyFont="1" applyProtection="1">
      <alignment vertical="center"/>
    </xf>
  </cellXfs>
  <cellStyles count="3">
    <cellStyle name="パーセント 2" xfId="2" xr:uid="{00000000-0005-0000-0000-000002000000}"/>
    <cellStyle name="ハイパーリンク" xfId="1" builtinId="8"/>
    <cellStyle name="標準" xfId="0" builtinId="0"/>
  </cellStyles>
  <dxfs count="138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1" hidden="0"/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family val="3"/>
        <charset val="128"/>
        <scheme val="minor"/>
      </font>
      <alignment horizontal="general" vertical="center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  <protection locked="0" hidden="0"/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rgb="FF000000"/>
        <name val="游ゴシック"/>
        <family val="2"/>
        <charset val="128"/>
      </font>
      <fill>
        <patternFill>
          <fgColor rgb="FF000000"/>
          <bgColor rgb="FFFFFFFF"/>
        </patternFill>
      </fill>
    </dxf>
    <dxf>
      <font>
        <b/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  <protection locked="0" hidden="0"/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2"/>
        <charset val="128"/>
        <scheme val="minor"/>
      </font>
    </dxf>
    <dxf>
      <numFmt numFmtId="0" formatCode="General"/>
    </dxf>
    <dxf>
      <numFmt numFmtId="0" formatCode="General"/>
    </dxf>
    <dxf>
      <numFmt numFmtId="0" formatCode="General"/>
      <protection locked="1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77" formatCode="m/d/yyyy"/>
      <protection locked="0" hidden="0"/>
    </dxf>
    <dxf>
      <numFmt numFmtId="177" formatCode="m/d/yyyy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</dxf>
    <dxf>
      <alignment horizontal="general" vertical="bottom"/>
    </dxf>
    <dxf>
      <alignment horizontal="general" vertical="bottom"/>
    </dxf>
    <dxf>
      <alignment horizontal="general" vertical="bottom" textRotation="0" wrapText="0" indent="0" justifyLastLine="0" shrinkToFit="0" readingOrder="0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alignment horizontal="general" vertical="bottom"/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</dxf>
    <dxf>
      <font>
        <strike val="0"/>
        <condense val="0"/>
        <extend val="0"/>
        <outline val="0"/>
        <shadow val="0"/>
        <vertAlign val="baseline"/>
        <sz val="11"/>
        <color theme="1"/>
        <name val="游ゴシック"/>
        <family val="3"/>
        <charset val="128"/>
        <scheme val="minor"/>
      </font>
      <border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</font>
      <fill>
        <patternFill>
          <fgColor rgb="FF000000"/>
          <bgColor rgb="FFFFFFFF"/>
        </patternFill>
      </fill>
    </dxf>
    <dxf>
      <font>
        <strike val="0"/>
        <condense val="0"/>
        <extend val="0"/>
        <outline val="0"/>
        <shadow val="0"/>
        <vertAlign val="baseline"/>
        <sz val="11"/>
        <color auto="1"/>
        <name val="游ゴシック"/>
        <family val="3"/>
        <charset val="128"/>
        <scheme val="minor"/>
      </font>
      <fill>
        <patternFill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23/09/relationships/Python" Target="pyth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29699" name="Butto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AddProjectSheet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29700" name="Button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0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AddParsonalTaskSheet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56321" name="Button 1" hidden="1">
              <a:extLst>
                <a:ext uri="{63B3BB69-23CF-44E3-9099-C40C66FF867C}">
                  <a14:compatExt spid="_x0000_s56321"/>
                </a:ext>
                <a:ext uri="{FF2B5EF4-FFF2-40B4-BE49-F238E27FC236}">
                  <a16:creationId xmlns:a16="http://schemas.microsoft.com/office/drawing/2014/main" id="{00000000-0008-0000-0100-000001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UpdateLastMtgDate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56323" name="Button 3" hidden="1">
              <a:extLst>
                <a:ext uri="{63B3BB69-23CF-44E3-9099-C40C66FF867C}">
                  <a14:compatExt spid="_x0000_s56323"/>
                </a:ext>
                <a:ext uri="{FF2B5EF4-FFF2-40B4-BE49-F238E27FC236}">
                  <a16:creationId xmlns:a16="http://schemas.microsoft.com/office/drawing/2014/main" id="{00000000-0008-0000-0100-000003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2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IndexUpdate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10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2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SortSheets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9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ProjectUpdate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7</xdr:row>
          <xdr:rowOff>213360</xdr:rowOff>
        </xdr:from>
        <xdr:to>
          <xdr:col>3</xdr:col>
          <xdr:colOff>0</xdr:colOff>
          <xdr:row>9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4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UpdateTaskUrgent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236220</xdr:rowOff>
        </xdr:from>
        <xdr:to>
          <xdr:col>4</xdr:col>
          <xdr:colOff>0</xdr:colOff>
          <xdr:row>23</xdr:row>
          <xdr:rowOff>236220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220980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7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OutputToObsidian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11</xdr:row>
          <xdr:rowOff>236220</xdr:rowOff>
        </xdr:from>
        <xdr:to>
          <xdr:col>4</xdr:col>
          <xdr:colOff>0</xdr:colOff>
          <xdr:row>12</xdr:row>
          <xdr:rowOff>236220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4</xdr:col>
          <xdr:colOff>0</xdr:colOff>
          <xdr:row>14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CollectMyTasks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236220</xdr:rowOff>
        </xdr:from>
        <xdr:to>
          <xdr:col>4</xdr:col>
          <xdr:colOff>0</xdr:colOff>
          <xdr:row>23</xdr:row>
          <xdr:rowOff>236220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13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220980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13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OutputToObsidian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GoToNextUpdateSheet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arsonalHeaderTable51" displayName="ParsonalHeaderTable51" ref="A7:B8" totalsRowShown="0" headerRowDxfId="137" dataDxfId="136">
  <autoFilter ref="A7:B8" xr:uid="{00000000-0009-0000-0100-000001000000}"/>
  <tableColumns count="2">
    <tableColumn id="1" xr3:uid="{00000000-0010-0000-0000-000001000000}" name="parameter" dataDxfId="135"/>
    <tableColumn id="2" xr3:uid="{00000000-0010-0000-0000-000002000000}" name="value" dataDxfId="134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arsonalHeaderTable5148" displayName="ParsonalHeaderTable5148" ref="A1:B3" totalsRowShown="0" headerRowDxfId="133" dataDxfId="132">
  <autoFilter ref="A1:B3" xr:uid="{00000000-0009-0000-0100-000002000000}"/>
  <tableColumns count="2">
    <tableColumn id="1" xr3:uid="{00000000-0010-0000-0100-000001000000}" name="parameter" dataDxfId="131"/>
    <tableColumn id="2" xr3:uid="{00000000-0010-0000-0100-000002000000}" name="value" dataDxfId="130"/>
  </tableColumns>
  <tableStyleInfo name="TableStyleLight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6DB712-30BC-4EB3-9DE0-FA55C25EA37D}" name="テーブル812" displayName="テーブル812" ref="A2:B4" totalsRowShown="0">
  <autoFilter ref="A2:B4" xr:uid="{FE6DB712-30BC-4EB3-9DE0-FA55C25EA37D}"/>
  <tableColumns count="2">
    <tableColumn id="1" xr3:uid="{A441C263-2AF1-4F25-90C8-8FF42A08B77D}" name="parameter"/>
    <tableColumn id="2" xr3:uid="{6D8E45AF-7342-4C63-A051-C14EFDB8A77E}" name="value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701147-9A3D-4C69-9F91-16B02966A595}" name="テーブル213" displayName="テーブル213" ref="A9:D11" totalsRowShown="0" headerRowDxfId="129">
  <autoFilter ref="A9:D11" xr:uid="{DF701147-9A3D-4C69-9F91-16B02966A595}"/>
  <tableColumns count="4">
    <tableColumn id="1" xr3:uid="{00FCD1AF-2AE6-4874-AD04-E1BD3541F869}" name="no" dataDxfId="128"/>
    <tableColumn id="2" xr3:uid="{66BD0881-B3AB-4F23-ADB9-8197CE344E6C}" name="action_id" dataDxfId="127"/>
    <tableColumn id="3" xr3:uid="{0E6ACD5A-6501-4C4F-87A4-861800ADCC97}" name="button" dataDxfId="126"/>
    <tableColumn id="4" xr3:uid="{F6DFE070-B624-4ED3-8ADB-01A974825385}" name="note" dataDxfId="125"/>
  </tableColumns>
  <tableStyleInfo name="TableStyleLight2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テーブル54" displayName="テーブル54" ref="A9:D11" totalsRowShown="0" headerRowDxfId="124" dataDxfId="123">
  <autoFilter ref="A9:D11" xr:uid="{00000000-0009-0000-0100-000003000000}"/>
  <tableColumns count="4">
    <tableColumn id="1" xr3:uid="{00000000-0010-0000-0200-000001000000}" name="no" dataDxfId="122"/>
    <tableColumn id="2" xr3:uid="{00000000-0010-0000-0200-000002000000}" name="action_id" dataDxfId="121"/>
    <tableColumn id="3" xr3:uid="{00000000-0010-0000-0200-000003000000}" name="button" dataDxfId="120"/>
    <tableColumn id="4" xr3:uid="{00000000-0010-0000-0200-000004000000}" name="note" dataDxfId="119"/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55" displayName="テーブル55" ref="A2:B4" totalsRowShown="0">
  <autoFilter ref="A2:B4" xr:uid="{00000000-0009-0000-0100-000004000000}"/>
  <tableColumns count="2">
    <tableColumn id="1" xr3:uid="{00000000-0010-0000-0300-000001000000}" name="parameter"/>
    <tableColumn id="2" xr3:uid="{00000000-0010-0000-0300-000002000000}" name="value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テーブル8" displayName="テーブル8" ref="A2:B4" totalsRowShown="0">
  <autoFilter ref="A2:B4" xr:uid="{00000000-0009-0000-0100-000008000000}"/>
  <tableColumns count="2">
    <tableColumn id="1" xr3:uid="{00000000-0010-0000-0700-000001000000}" name="parameter"/>
    <tableColumn id="2" xr3:uid="{00000000-0010-0000-0700-000002000000}" name="value"/>
  </tableColumns>
  <tableStyleInfo name="TableStyleLight2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テーブル2" displayName="テーブル2" ref="A9:D10" totalsRowShown="0" headerRowDxfId="118">
  <autoFilter ref="A9:D10" xr:uid="{00000000-0009-0000-0100-000009000000}"/>
  <tableColumns count="4">
    <tableColumn id="1" xr3:uid="{00000000-0010-0000-0800-000001000000}" name="no" dataDxfId="117"/>
    <tableColumn id="2" xr3:uid="{00000000-0010-0000-0800-000002000000}" name="action_id" dataDxfId="116"/>
    <tableColumn id="3" xr3:uid="{00000000-0010-0000-0800-000003000000}" name="button" dataDxfId="115"/>
    <tableColumn id="4" xr3:uid="{00000000-0010-0000-0800-000004000000}" name="note" dataDxfId="114"/>
  </tableColumns>
  <tableStyleInfo name="TableStyleLight2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project_index" displayName="project_index" ref="A15:J17" totalsRowShown="0" dataDxfId="113">
  <autoFilter ref="A15:J17" xr:uid="{00000000-0009-0000-0100-00000A000000}"/>
  <tableColumns count="10">
    <tableColumn id="1" xr3:uid="{00000000-0010-0000-0900-000001000000}" name="no" dataDxfId="112"/>
    <tableColumn id="2" xr3:uid="{00000000-0010-0000-0900-000002000000}" name="project_id" dataDxfId="111"/>
    <tableColumn id="3" xr3:uid="{00000000-0010-0000-0900-000003000000}" name="project_name" dataCellStyle="ハイパーリンク"/>
    <tableColumn id="4" xr3:uid="{00000000-0010-0000-0900-000004000000}" name="sheet_name" dataDxfId="110" dataCellStyle="ハイパーリンク"/>
    <tableColumn id="5" xr3:uid="{00000000-0010-0000-0900-000005000000}" name="project_category" dataDxfId="109"/>
    <tableColumn id="6" xr3:uid="{00000000-0010-0000-0900-000006000000}" name="project_category2" dataDxfId="108"/>
    <tableColumn id="7" xr3:uid="{00000000-0010-0000-0900-000007000000}" name="summary" dataDxfId="107"/>
    <tableColumn id="8" xr3:uid="{00000000-0010-0000-0900-000008000000}" name="update_flag"/>
    <tableColumn id="9" xr3:uid="{00000000-0010-0000-0900-000009000000}" name="owner_primary"/>
    <tableColumn id="10" xr3:uid="{57250FE1-F421-440C-A96E-425B6843B865}" name="last_update" dataDxfId="106"/>
  </tableColumns>
  <tableStyleInfo name="TableStyleLight2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テーブル37" displayName="テーブル37" ref="A2:B4" totalsRowShown="0">
  <autoFilter ref="A2:B4" xr:uid="{00000000-0009-0000-0100-000005000000}"/>
  <tableColumns count="2">
    <tableColumn id="1" xr3:uid="{00000000-0010-0000-0400-000001000000}" name="parameter"/>
    <tableColumn id="2" xr3:uid="{00000000-0010-0000-0400-000002000000}" name="value"/>
  </tableColumns>
  <tableStyleInfo name="TableStyleLight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テーブル38" displayName="テーブル38" ref="A8:D9" totalsRowShown="0">
  <autoFilter ref="A8:D9" xr:uid="{00000000-0009-0000-0100-000006000000}"/>
  <tableColumns count="4">
    <tableColumn id="1" xr3:uid="{00000000-0010-0000-0500-000001000000}" name="no"/>
    <tableColumn id="2" xr3:uid="{00000000-0010-0000-0500-000002000000}" name="action_id"/>
    <tableColumn id="3" xr3:uid="{00000000-0010-0000-0500-000003000000}" name="button"/>
    <tableColumn id="4" xr3:uid="{00000000-0010-0000-0500-000004000000}" name="note"/>
  </tableColumns>
  <tableStyleInfo name="TableStyleLight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skUrgentTable" displayName="TaskUrgentTable" ref="A13:R213" totalsRowShown="0">
  <autoFilter ref="A13:R213" xr:uid="{00000000-0009-0000-0100-000007000000}"/>
  <tableColumns count="18">
    <tableColumn id="1" xr3:uid="{00000000-0010-0000-0600-000001000000}" name="no"/>
    <tableColumn id="2" xr3:uid="{00000000-0010-0000-0600-000002000000}" name="src_project_id"/>
    <tableColumn id="3" xr3:uid="{00000000-0010-0000-0600-000003000000}" name="src_sheet_name"/>
    <tableColumn id="4" xr3:uid="{00000000-0010-0000-0600-000004000000}" name="task_id"/>
    <tableColumn id="5" xr3:uid="{00000000-0010-0000-0600-000005000000}" name="task_name"/>
    <tableColumn id="6" xr3:uid="{00000000-0010-0000-0600-000006000000}" name="summary"/>
    <tableColumn id="7" xr3:uid="{00000000-0010-0000-0600-000007000000}" name="owner_primary"/>
    <tableColumn id="8" xr3:uid="{00000000-0010-0000-0600-000008000000}" name="owner_secondary"/>
    <tableColumn id="9" xr3:uid="{00000000-0010-0000-0600-000009000000}" name="Kanban_Status"/>
    <tableColumn id="10" xr3:uid="{00000000-0010-0000-0600-00000A000000}" name="MoSCoW_Priority"/>
    <tableColumn id="11" xr3:uid="{00000000-0010-0000-0600-00000B000000}" name="story_point"/>
    <tableColumn id="12" xr3:uid="{00000000-0010-0000-0600-00000C000000}" name="DoD_check"/>
    <tableColumn id="13" xr3:uid="{00000000-0010-0000-0600-00000D000000}" name="start_date"/>
    <tableColumn id="14" xr3:uid="{00000000-0010-0000-0600-00000E000000}" name="end_date"/>
    <tableColumn id="15" xr3:uid="{00000000-0010-0000-0600-00000F000000}" name="last_update"/>
    <tableColumn id="16" xr3:uid="{00000000-0010-0000-0600-000010000000}" name="update_flag"/>
    <tableColumn id="17" xr3:uid="{00000000-0010-0000-0600-000011000000}" name="feature_key"/>
    <tableColumn id="18" xr3:uid="{00000000-0010-0000-0600-000012000000}" name="sprint_id"/>
  </tableColumns>
  <tableStyleInfo name="TableStyleLight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A5B0311-6B7A-4D1B-9755-F360D7CDC79C}" name="テーブル15" displayName="テーブル15" ref="A1:F10" totalsRowShown="0">
  <autoFilter ref="A1:F10" xr:uid="{DA5B0311-6B7A-4D1B-9755-F360D7CDC79C}"/>
  <tableColumns count="6">
    <tableColumn id="1" xr3:uid="{FC428DF0-7851-415A-9B1D-0F7B04642855}" name="type"/>
    <tableColumn id="2" xr3:uid="{F7B858E6-A04E-41F4-8C1A-F08E187FD435}" name="sort_order"/>
    <tableColumn id="3" xr3:uid="{34E24B7F-5C92-4431-A4C8-AB106637F02B}" name="branch_prefix"/>
    <tableColumn id="4" xr3:uid="{8B83B5AC-7043-4519-9402-D8B6B950E9B2}" name="description"/>
    <tableColumn id="5" xr3:uid="{A3272232-371D-47A1-90B8-F028C8CE06A8}" name="example_branch"/>
    <tableColumn id="6" xr3:uid="{0DFBF28B-0E96-4B8B-9485-24898DF509A0}" name="is_active"/>
  </tableColumns>
  <tableStyleInfo name="TableStyleLight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MoSCowTable" displayName="MoSCowTable" ref="A1:G21" totalsRowShown="0">
  <autoFilter ref="A1:G21" xr:uid="{00000000-0009-0000-0100-000010000000}"/>
  <tableColumns count="7">
    <tableColumn id="1" xr3:uid="{00000000-0010-0000-0F00-000001000000}" name="no"/>
    <tableColumn id="2" xr3:uid="{00000000-0010-0000-0F00-000002000000}" name="priority"/>
    <tableColumn id="3" xr3:uid="{00000000-0010-0000-0F00-000003000000}" name="sort_order"/>
    <tableColumn id="4" xr3:uid="{00000000-0010-0000-0F00-000004000000}" name="意味（日本語）"/>
    <tableColumn id="5" xr3:uid="{00000000-0010-0000-0F00-000005000000}" name="summary_EN"/>
    <tableColumn id="6" xr3:uid="{00000000-0010-0000-0F00-000006000000}" name="summary_ja"/>
    <tableColumn id="7" xr3:uid="{00000000-0010-0000-0F00-000007000000}" name="is_active"/>
  </tableColumns>
  <tableStyleInfo name="TableStyleLight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TaskListTable" displayName="TaskListTable" ref="A58:P258" totalsRowShown="0">
  <autoFilter ref="A58:P258" xr:uid="{00000000-0009-0000-0100-000011000000}"/>
  <tableColumns count="16">
    <tableColumn id="1" xr3:uid="{00000000-0010-0000-1000-000001000000}" name="no"/>
    <tableColumn id="2" xr3:uid="{00000000-0010-0000-1000-000002000000}" name="task_id" dataDxfId="105">
      <calculatedColumnFormula>VLOOKUP("project_id",ProjectHeaderInfoTalbe[],2,FALSE)&amp;"-"&amp;"T"&amp;TEXT(TaskListTable[[#This Row],[no]],"000")</calculatedColumnFormula>
    </tableColumn>
    <tableColumn id="3" xr3:uid="{00000000-0010-0000-1000-000003000000}" name="task_name" dataDxfId="104"/>
    <tableColumn id="4" xr3:uid="{00000000-0010-0000-1000-000004000000}" name="summary" dataDxfId="103"/>
    <tableColumn id="5" xr3:uid="{00000000-0010-0000-1000-000005000000}" name="owner_primary" dataDxfId="102"/>
    <tableColumn id="6" xr3:uid="{00000000-0010-0000-1000-000006000000}" name="owner_secondary" dataDxfId="101"/>
    <tableColumn id="9" xr3:uid="{00000000-0010-0000-1000-000009000000}" name="start_date" dataDxfId="100"/>
    <tableColumn id="10" xr3:uid="{00000000-0010-0000-1000-00000A000000}" name="end_date" dataDxfId="99"/>
    <tableColumn id="15" xr3:uid="{00000000-0010-0000-1000-00000F000000}" name="Kanban_Status" dataDxfId="98"/>
    <tableColumn id="16" xr3:uid="{00000000-0010-0000-1000-000010000000}" name="MoSCoW_Priority" dataDxfId="97"/>
    <tableColumn id="7" xr3:uid="{00000000-0010-0000-1000-000007000000}" name="story_point" dataDxfId="96"/>
    <tableColumn id="8" xr3:uid="{00000000-0010-0000-1000-000008000000}" name="DoD_check" dataDxfId="95"/>
    <tableColumn id="11" xr3:uid="{00000000-0010-0000-1000-00000B000000}" name="last_update" dataDxfId="94"/>
    <tableColumn id="12" xr3:uid="{00000000-0010-0000-1000-00000C000000}" name="feature_key" dataDxfId="93"/>
    <tableColumn id="13" xr3:uid="{00000000-0010-0000-1000-00000D000000}" name="sprint_id" dataDxfId="92"/>
    <tableColumn id="14" xr3:uid="{00000000-0010-0000-1000-00000E000000}" name="update_flag" dataDxfId="91">
      <calculatedColumnFormula>IF(TaskListTable[[#This Row],[last_update]]&gt;VLOOKUP("LAST-MTG-DATE",DEF_Parameter!$A$3:$D$102,4,FALSE),"YES","")</calculatedColumnFormula>
    </tableColumn>
  </tableColumns>
  <tableStyleInfo name="TableStyleLight2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StatusRatioTable" displayName="StatusRatioTable" ref="A30:D38" totalsRowShown="0">
  <autoFilter ref="A30:D38" xr:uid="{00000000-0009-0000-0100-000012000000}"/>
  <tableColumns count="4">
    <tableColumn id="1" xr3:uid="{00000000-0010-0000-1100-000001000000}" name="Kanban_Status"/>
    <tableColumn id="2" xr3:uid="{00000000-0010-0000-1100-000002000000}" name="number_of_tasks" dataDxfId="90">
      <calculatedColumnFormula>COUNTIF(TaskListTable[Kanban_Status],StatusRatioTable[[#This Row],[Kanban_Status]])</calculatedColumnFormula>
    </tableColumn>
    <tableColumn id="3" xr3:uid="{00000000-0010-0000-1100-000003000000}" name="estimated_time_total" dataDxfId="89">
      <calculatedColumnFormula>SUMIF(
  TaskListTable[Kanban_Status],
  StatusRatioTable[[#This Row],[Kanban_Status]],
  TaskListTable[story_point]
)</calculatedColumnFormula>
    </tableColumn>
    <tableColumn id="4" xr3:uid="{00000000-0010-0000-1100-000004000000}" name="composition_ratio_percent" dataDxfId="88"/>
  </tableColumns>
  <tableStyleInfo name="TableStyleLight2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ProjectHeaderInfoTalbe" displayName="ProjectHeaderInfoTalbe" ref="A2:B19" totalsRowShown="0" headerRowDxfId="87" dataDxfId="86">
  <autoFilter ref="A2:B19" xr:uid="{00000000-0009-0000-0100-000013000000}"/>
  <tableColumns count="2">
    <tableColumn id="1" xr3:uid="{00000000-0010-0000-1200-000001000000}" name="parameter" dataDxfId="85"/>
    <tableColumn id="2" xr3:uid="{00000000-0010-0000-1200-000002000000}" name="value" dataDxfId="84"/>
  </tableColumns>
  <tableStyleInfo name="TableStyleLight2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ActionTable" displayName="ActionTable" ref="A23:D26" totalsRowShown="0">
  <autoFilter ref="A23:D26" xr:uid="{00000000-0009-0000-0100-000014000000}"/>
  <tableColumns count="4">
    <tableColumn id="1" xr3:uid="{00000000-0010-0000-1300-000001000000}" name="no"/>
    <tableColumn id="2" xr3:uid="{00000000-0010-0000-1300-000002000000}" name="action_id"/>
    <tableColumn id="3" xr3:uid="{00000000-0010-0000-1300-000003000000}" name="caption"/>
    <tableColumn id="4" xr3:uid="{00000000-0010-0000-1300-000004000000}" name="butoon"/>
  </tableColumns>
  <tableStyleInfo name="TableStyleLight2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ScheduleTable" displayName="ScheduleTable" ref="A43:F53" totalsRowShown="0" headerRowDxfId="83" dataDxfId="82">
  <autoFilter ref="A43:F53" xr:uid="{00000000-0009-0000-0100-000015000000}"/>
  <tableColumns count="6">
    <tableColumn id="1" xr3:uid="{00000000-0010-0000-1400-000001000000}" name="no" dataDxfId="81"/>
    <tableColumn id="2" xr3:uid="{00000000-0010-0000-1400-000002000000}" name="team" dataDxfId="80"/>
    <tableColumn id="3" xr3:uid="{00000000-0010-0000-1400-000003000000}" name="task_category" dataDxfId="79"/>
    <tableColumn id="4" xr3:uid="{00000000-0010-0000-1400-000004000000}" name="summary" dataDxfId="78"/>
    <tableColumn id="5" xr3:uid="{00000000-0010-0000-1400-000005000000}" name="start_date" dataDxfId="77"/>
    <tableColumn id="6" xr3:uid="{00000000-0010-0000-1400-000006000000}" name="end_date" dataDxfId="76"/>
  </tableColumns>
  <tableStyleInfo name="TableStyleLight2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PersonalTaskTable" displayName="PersonalTaskTable" ref="A62:R262" totalsRowShown="0">
  <autoFilter ref="A62:R262" xr:uid="{00000000-0009-0000-0100-000016000000}"/>
  <tableColumns count="18">
    <tableColumn id="1" xr3:uid="{00000000-0010-0000-1500-000001000000}" name="no"/>
    <tableColumn id="2" xr3:uid="{00000000-0010-0000-1500-000002000000}" name="src_project_id"/>
    <tableColumn id="3" xr3:uid="{00000000-0010-0000-1500-000003000000}" name="src_sheet_name"/>
    <tableColumn id="4" xr3:uid="{00000000-0010-0000-1500-000004000000}" name="task_id"/>
    <tableColumn id="5" xr3:uid="{00000000-0010-0000-1500-000005000000}" name="task_name"/>
    <tableColumn id="6" xr3:uid="{00000000-0010-0000-1500-000006000000}" name="summary"/>
    <tableColumn id="15" xr3:uid="{00000000-0010-0000-1500-00000F000000}" name="owner_primary"/>
    <tableColumn id="16" xr3:uid="{00000000-0010-0000-1500-000010000000}" name="owner_secondary"/>
    <tableColumn id="7" xr3:uid="{00000000-0010-0000-1500-000007000000}" name="Kanban_Status"/>
    <tableColumn id="8" xr3:uid="{00000000-0010-0000-1500-000008000000}" name="MoSCoW_Priority"/>
    <tableColumn id="9" xr3:uid="{00000000-0010-0000-1500-000009000000}" name="story_point"/>
    <tableColumn id="10" xr3:uid="{00000000-0010-0000-1500-00000A000000}" name="DoD_check"/>
    <tableColumn id="11" xr3:uid="{00000000-0010-0000-1500-00000B000000}" name="start_date"/>
    <tableColumn id="12" xr3:uid="{00000000-0010-0000-1500-00000C000000}" name="end_date"/>
    <tableColumn id="13" xr3:uid="{00000000-0010-0000-1500-00000D000000}" name="last_update"/>
    <tableColumn id="14" xr3:uid="{00000000-0010-0000-1500-00000E000000}" name="update_flag" dataDxfId="75"/>
    <tableColumn id="17" xr3:uid="{00000000-0010-0000-1500-000011000000}" name="feature_key"/>
    <tableColumn id="18" xr3:uid="{00000000-0010-0000-1500-000012000000}" name="sprint_id"/>
  </tableColumns>
  <tableStyleInfo name="TableStyleLight2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ParsonalStatusRatioTable" displayName="ParsonalStatusRatioTable" ref="A19:D27" totalsRowShown="0">
  <autoFilter ref="A19:D27" xr:uid="{00000000-0009-0000-0100-000017000000}"/>
  <tableColumns count="4">
    <tableColumn id="1" xr3:uid="{00000000-0010-0000-1600-000001000000}" name="Kanban_Status"/>
    <tableColumn id="2" xr3:uid="{00000000-0010-0000-1600-000002000000}" name="number_of_tasks"/>
    <tableColumn id="3" xr3:uid="{00000000-0010-0000-1600-000003000000}" name="estimated_time_total"/>
    <tableColumn id="4" xr3:uid="{00000000-0010-0000-1600-000004000000}" name="composition_ratio_percent" dataDxfId="74"/>
  </tableColumns>
  <tableStyleInfo name="TableStyleLight2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ParsonalHeaderTable" displayName="ParsonalHeaderTable" ref="A2:B8" totalsRowShown="0" headerRowDxfId="73" dataDxfId="72">
  <autoFilter ref="A2:B8" xr:uid="{00000000-0009-0000-0100-000018000000}"/>
  <tableColumns count="2">
    <tableColumn id="1" xr3:uid="{00000000-0010-0000-1700-000001000000}" name="parameter" dataDxfId="71"/>
    <tableColumn id="2" xr3:uid="{00000000-0010-0000-1700-000002000000}" name="value" dataDxfId="70"/>
  </tableColumns>
  <tableStyleInfo name="TableStyleLight2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ParsonalActionTable" displayName="ParsonalActionTable" ref="A12:D15" totalsRowShown="0">
  <autoFilter ref="A12:D15" xr:uid="{00000000-0009-0000-0100-000019000000}"/>
  <tableColumns count="4">
    <tableColumn id="1" xr3:uid="{00000000-0010-0000-1800-000001000000}" name="no"/>
    <tableColumn id="2" xr3:uid="{00000000-0010-0000-1800-000002000000}" name="action_id"/>
    <tableColumn id="3" xr3:uid="{00000000-0010-0000-1800-000003000000}" name="caption"/>
    <tableColumn id="4" xr3:uid="{00000000-0010-0000-1800-000004000000}" name="butoon"/>
  </tableColumns>
  <tableStyleInfo name="TableStyleLight2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ParsonalScheduleTable" displayName="ParsonalScheduleTable" ref="A32:H57" totalsRowShown="0" headerRowDxfId="69" dataDxfId="68">
  <autoFilter ref="A32:H57" xr:uid="{00000000-0009-0000-0100-00001A000000}"/>
  <tableColumns count="8">
    <tableColumn id="1" xr3:uid="{00000000-0010-0000-1900-000001000000}" name="no" dataDxfId="18"/>
    <tableColumn id="2" xr3:uid="{00000000-0010-0000-1900-000002000000}" name="event_type" dataDxfId="67"/>
    <tableColumn id="3" xr3:uid="{00000000-0010-0000-1900-000003000000}" name="title" dataDxfId="66"/>
    <tableColumn id="4" xr3:uid="{00000000-0010-0000-1900-000004000000}" name="summary" dataDxfId="65"/>
    <tableColumn id="5" xr3:uid="{00000000-0010-0000-1900-000005000000}" name="start_date" dataDxfId="64"/>
    <tableColumn id="6" xr3:uid="{00000000-0010-0000-1900-000006000000}" name="end_date" dataDxfId="63"/>
    <tableColumn id="7" xr3:uid="{00000000-0010-0000-1900-000007000000}" name="time_coverage" dataDxfId="62"/>
    <tableColumn id="8" xr3:uid="{00000000-0010-0000-1900-000008000000}" name="status" dataDxfId="61"/>
  </tableColumns>
  <tableStyleInfo name="TableStyleLight2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60533C03-F2CB-4D2B-8399-680F6640113F}" name="TimeCoverageTalbe" displayName="TimeCoverageTalbe" ref="A1:E19" totalsRowShown="0">
  <autoFilter ref="A1:E19" xr:uid="{60533C03-F2CB-4D2B-8399-680F6640113F}"/>
  <tableColumns count="5">
    <tableColumn id="1" xr3:uid="{7809F51D-88C1-4FE2-A821-106C2C82BA72}" name="time_coverage"/>
    <tableColumn id="2" xr3:uid="{9D86A84D-8226-40F6-8192-A454BB3A0D77}" name="coverage_en"/>
    <tableColumn id="3" xr3:uid="{F4ABCDC1-3720-485B-A73C-692928564AB9}" name="description"/>
    <tableColumn id="4" xr3:uid="{353CF248-B63C-4B4D-AE68-B2F9324E17B6}" name="hours_equiv"/>
    <tableColumn id="5" xr3:uid="{2FDFB40E-BFA5-47DD-87BC-0602DB0FB643}" name="is_blocking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9AABCD10-1051-406D-84C4-20914A637669}" name="EventTypeTalbe" displayName="EventTypeTalbe" ref="A1:H27" totalsRowShown="0">
  <autoFilter ref="A1:H27" xr:uid="{9AABCD10-1051-406D-84C4-20914A637669}"/>
  <tableColumns count="8">
    <tableColumn id="1" xr3:uid="{858670AE-FEF9-4616-8F90-FFF15C01A613}" name="event_type"/>
    <tableColumn id="2" xr3:uid="{A915FE42-2D4D-4D89-9BED-36ABA4491B8A}" name="event_type_en"/>
    <tableColumn id="3" xr3:uid="{3F92BB3D-2F2B-405C-8DE6-1976CEF2A374}" name="category"/>
    <tableColumn id="4" xr3:uid="{E0459C59-9232-45EF-9759-42654C47EC2F}" name="scope_description"/>
    <tableColumn id="5" xr3:uid="{BEEFDEB6-34D3-4C72-9123-D0EE358D5128}" name="example"/>
    <tableColumn id="6" xr3:uid="{79BA3DD9-978A-4EB6-9C39-D90B58B6ABAA}" name="use_for_analysis"/>
    <tableColumn id="7" xr3:uid="{217D2056-B3E4-44BE-BDEC-D701A0833B00}" name="is_billable"/>
    <tableColumn id="8" xr3:uid="{3AD34104-0123-4139-9D1C-3982BD718D85}" name="default_priority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テーブル51" displayName="テーブル51" ref="A1:D21" totalsRowShown="0">
  <autoFilter ref="A1:D21" xr:uid="{00000000-0009-0000-0100-00001B000000}"/>
  <tableColumns count="4">
    <tableColumn id="1" xr3:uid="{00000000-0010-0000-1A00-000001000000}" name="no"/>
    <tableColumn id="2" xr3:uid="{00000000-0010-0000-1A00-000002000000}" name="sheet_prefix"/>
    <tableColumn id="3" xr3:uid="{00000000-0010-0000-1A00-000003000000}" name="sort_order"/>
    <tableColumn id="4" xr3:uid="{00000000-0010-0000-1A00-000004000000}" name="Summary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OwnerTable" displayName="OwnerTable" ref="A1:B21" totalsRowShown="0">
  <autoFilter ref="A1:B21" xr:uid="{00000000-0009-0000-0100-00001C000000}"/>
  <tableColumns count="2">
    <tableColumn id="1" xr3:uid="{00000000-0010-0000-1B00-000001000000}" name="no"/>
    <tableColumn id="2" xr3:uid="{00000000-0010-0000-1B00-000002000000}" name="owner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テーブル44" displayName="テーブル44" ref="A1:G26" totalsRowShown="0" headerRowDxfId="60" dataDxfId="59">
  <autoFilter ref="A1:G26" xr:uid="{00000000-0009-0000-0100-00001D000000}"/>
  <tableColumns count="7">
    <tableColumn id="7" xr3:uid="{00000000-0010-0000-1C00-000007000000}" name="no" dataDxfId="58"/>
    <tableColumn id="1" xr3:uid="{00000000-0010-0000-1C00-000001000000}" name="category_id" dataDxfId="57"/>
    <tableColumn id="2" xr3:uid="{00000000-0010-0000-1C00-000002000000}" name="category_code" dataDxfId="56"/>
    <tableColumn id="3" xr3:uid="{00000000-0010-0000-1C00-000003000000}" name="display_name" dataDxfId="55"/>
    <tableColumn id="4" xr3:uid="{00000000-0010-0000-1C00-000004000000}" name="summary" dataDxfId="54"/>
    <tableColumn id="5" xr3:uid="{00000000-0010-0000-1C00-000005000000}" name="is_active" dataDxfId="53"/>
    <tableColumn id="6" xr3:uid="{00000000-0010-0000-1C00-000006000000}" name="report_group" dataDxfId="52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SheetRoleTable" displayName="SheetRoleTable" ref="A1:H16" totalsRowShown="0" headerRowDxfId="51">
  <autoFilter ref="A1:H16" xr:uid="{00000000-0009-0000-0100-00001E000000}"/>
  <tableColumns count="8">
    <tableColumn id="1" xr3:uid="{00000000-0010-0000-1D00-000001000000}" name="no"/>
    <tableColumn id="2" xr3:uid="{00000000-0010-0000-1D00-000002000000}" name="sheet_role"/>
    <tableColumn id="3" xr3:uid="{00000000-0010-0000-1D00-000003000000}" name="role_name_jp"/>
    <tableColumn id="4" xr3:uid="{00000000-0010-0000-1D00-000004000000}" name="role_name_en"/>
    <tableColumn id="5" xr3:uid="{00000000-0010-0000-1D00-000005000000}" name="summary"/>
    <tableColumn id="6" xr3:uid="{00000000-0010-0000-1D00-000006000000}" name="expected_table"/>
    <tableColumn id="7" xr3:uid="{00000000-0010-0000-1D00-000007000000}" name="editable_policy"/>
    <tableColumn id="8" xr3:uid="{00000000-0010-0000-1D00-000008000000}" name="not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StoryPointTable" displayName="StoryPointTable" ref="A1:G21" totalsRowShown="0">
  <autoFilter ref="A1:G21" xr:uid="{00000000-0009-0000-0100-00001F000000}"/>
  <tableColumns count="7">
    <tableColumn id="1" xr3:uid="{00000000-0010-0000-1E00-000001000000}" name="no"/>
    <tableColumn id="2" xr3:uid="{00000000-0010-0000-1E00-000002000000}" name="story_point"/>
    <tableColumn id="3" xr3:uid="{00000000-0010-0000-1E00-000003000000}" name="sort_order"/>
    <tableColumn id="4" xr3:uid="{00000000-0010-0000-1E00-000004000000}" name="意味合い（日本語）"/>
    <tableColumn id="5" xr3:uid="{00000000-0010-0000-1E00-000005000000}" name="Meaning_EN"/>
    <tableColumn id="6" xr3:uid="{00000000-0010-0000-1E00-000006000000}" name="推定時間目安"/>
    <tableColumn id="7" xr3:uid="{00000000-0010-0000-1E00-000007000000}" name="is_active"/>
  </tableColumns>
  <tableStyleInfo name="TableStyleLight21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DoDCheckTable" displayName="DoDCheckTable" ref="A1:J11" totalsRowShown="0">
  <autoFilter ref="A1:J11" xr:uid="{00000000-0009-0000-0100-000020000000}"/>
  <tableColumns count="10">
    <tableColumn id="1" xr3:uid="{00000000-0010-0000-1F00-000001000000}" name="dod_id"/>
    <tableColumn id="2" xr3:uid="{00000000-0010-0000-1F00-000002000000}" name="dod_name"/>
    <tableColumn id="3" xr3:uid="{00000000-0010-0000-1F00-000003000000}" name="is_required"/>
    <tableColumn id="4" xr3:uid="{00000000-0010-0000-1F00-000004000000}" name="check_target"/>
    <tableColumn id="5" xr3:uid="{00000000-0010-0000-1F00-000005000000}" name="check_type"/>
    <tableColumn id="6" xr3:uid="{00000000-0010-0000-1F00-000006000000}" name="check_expression"/>
    <tableColumn id="7" xr3:uid="{00000000-0010-0000-1F00-000007000000}" name="owner_role"/>
    <tableColumn id="8" xr3:uid="{00000000-0010-0000-1F00-000008000000}" name="apply_scope"/>
    <tableColumn id="9" xr3:uid="{00000000-0010-0000-1F00-000009000000}" name="block_on_fail"/>
    <tableColumn id="10" xr3:uid="{00000000-0010-0000-1F00-00000A000000}" name="summary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KanbanStatusTable" displayName="KanbanStatusTable" ref="A2:F22" totalsRowShown="0">
  <autoFilter ref="A2:F22" xr:uid="{00000000-0009-0000-0100-000021000000}"/>
  <tableColumns count="6">
    <tableColumn id="1" xr3:uid="{00000000-0010-0000-2000-000001000000}" name="no"/>
    <tableColumn id="2" xr3:uid="{00000000-0010-0000-2000-000002000000}" name="Kanban_Status"/>
    <tableColumn id="3" xr3:uid="{00000000-0010-0000-2000-000003000000}" name="Sort_Order"/>
    <tableColumn id="4" xr3:uid="{00000000-0010-0000-2000-000004000000}" name="説明（日本語）"/>
    <tableColumn id="5" xr3:uid="{00000000-0010-0000-2000-000005000000}" name="Explanation (EN)"/>
    <tableColumn id="6" xr3:uid="{00000000-0010-0000-2000-000006000000}" name="想定トリガー"/>
  </tableColumns>
  <tableStyleInfo name="TableStyleLight21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3ECBAFC-68E5-4F64-9F6B-593541203611}" name="テーブル81215" displayName="テーブル81215" ref="A2:B4" totalsRowShown="0">
  <autoFilter ref="A2:B4" xr:uid="{C3ECBAFC-68E5-4F64-9F6B-593541203611}"/>
  <tableColumns count="2">
    <tableColumn id="1" xr3:uid="{D21EC241-ED57-4864-B58D-2A82B6A52591}" name="parameter"/>
    <tableColumn id="2" xr3:uid="{5FC463F3-AD7B-4444-915F-A7EFE1D10027}" name="value"/>
  </tableColumns>
  <tableStyleInfo name="TableStyleLight21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B03E980-ED74-4B43-B5C8-1AB8AA3228BF}" name="テーブル34" displayName="テーブル34" ref="A9:J109" totalsRowShown="0" headerRowDxfId="50">
  <autoFilter ref="A9:J109" xr:uid="{1B03E980-ED74-4B43-B5C8-1AB8AA3228BF}"/>
  <tableColumns count="10">
    <tableColumn id="1" xr3:uid="{24369B74-98B1-4F2B-943D-6C8E49091DAA}" name="id"/>
    <tableColumn id="2" xr3:uid="{4FB7D9F5-FABA-4919-B61E-B64D84BF99E7}" name="version"/>
    <tableColumn id="3" xr3:uid="{53182834-E011-4EAD-BD63-17D4FE209EB5}" name="release_date"/>
    <tableColumn id="4" xr3:uid="{4CC404C2-E3DA-4493-AD4E-7C55D8FCDE2D}" name="type"/>
    <tableColumn id="5" xr3:uid="{ADB5B2BC-BDD5-46F1-9DCE-A3C798FC6517}" name="module"/>
    <tableColumn id="6" xr3:uid="{7BCAFC67-912A-41BB-9D18-5C118E9184D5}" name="title"/>
    <tableColumn id="7" xr3:uid="{1FFF4369-17B7-421A-A6EA-D334D6090143}" name="description"/>
    <tableColumn id="8" xr3:uid="{EA10FF10-53C2-4DCE-AE6D-F5FCEC31D01C}" name="author"/>
    <tableColumn id="9" xr3:uid="{2E011A4B-D62A-4CA6-9C1E-9D88C7BFF866}" name="status"/>
    <tableColumn id="10" xr3:uid="{A4E25D16-3CB7-4C50-BFB7-005A55453648}" name="branch_name" dataDxfId="49">
      <calculatedColumnFormula>テーブル34[[#This Row],[type]]&amp;"/"&amp;SUBSTITUTE(LOWER(テーブル34[[#This Row],[title]])," ","-")</calculatedColumnFormula>
    </tableColumn>
  </tableColumns>
  <tableStyleInfo name="TableStyleLight21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40FCADC-47AA-4A37-A2FF-86875D16BD6B}" name="TaskListTable14_1" displayName="TaskListTable14_1" ref="A58:P258" totalsRowShown="0">
  <autoFilter ref="A58:P258" xr:uid="{00000000-0009-0000-0100-000011000000}"/>
  <tableColumns count="16">
    <tableColumn id="1" xr3:uid="{FA25E3F2-A5F3-46C6-8E07-3376193C5A85}" name="no"/>
    <tableColumn id="2" xr3:uid="{2006C62D-23A6-43D2-AA80-7055A8ADE846}" name="task_id" dataDxfId="48">
      <calculatedColumnFormula>VLOOKUP("project_id",ProjectHeaderInfoTalbe37_1[],2,FALSE)&amp;"-"&amp;"T"&amp;TEXT(TaskListTable14_1[[#This Row],[no]],"000")</calculatedColumnFormula>
    </tableColumn>
    <tableColumn id="3" xr3:uid="{9C764446-80AB-437A-AC8C-6CDCC86AE3B1}" name="task_name" dataDxfId="47"/>
    <tableColumn id="4" xr3:uid="{3ED9EE37-6854-46E1-9305-DCA169EEA89D}" name="summary" dataDxfId="46"/>
    <tableColumn id="5" xr3:uid="{0FA00259-48AA-4AD3-801B-B5120C2C7D4F}" name="owner_primary" dataDxfId="45"/>
    <tableColumn id="6" xr3:uid="{A91CBE4D-2E3C-47C1-A5E8-4780B3938D1B}" name="owner_secondary" dataDxfId="44"/>
    <tableColumn id="9" xr3:uid="{7D21C3D8-7FB5-4A98-B354-A6150A8933F7}" name="start_date" dataDxfId="43"/>
    <tableColumn id="10" xr3:uid="{B87D7B89-7CB3-47D2-B888-440827546FEF}" name="end_date" dataDxfId="42"/>
    <tableColumn id="15" xr3:uid="{916482FE-E643-4FAC-85BA-1D4AC3F5CF64}" name="Kanban_Status" dataDxfId="41"/>
    <tableColumn id="16" xr3:uid="{ACFDFE88-8B6F-4DAC-9EAD-9BA189BA3ACB}" name="MoSCoW_Priority" dataDxfId="40"/>
    <tableColumn id="7" xr3:uid="{A46145A6-9497-42DD-BBB0-BC92447B1D0C}" name="story_point" dataDxfId="39"/>
    <tableColumn id="8" xr3:uid="{C1DABF0F-D691-4DA0-99D8-4A65F92E12F0}" name="DoD_check" dataDxfId="38"/>
    <tableColumn id="11" xr3:uid="{04AA80F8-C4D1-43E4-99B3-451473CD9533}" name="last_update" dataDxfId="37"/>
    <tableColumn id="12" xr3:uid="{D71F1C2B-07AA-4D9E-A1A1-7EE95C624569}" name="feature_key" dataDxfId="36"/>
    <tableColumn id="13" xr3:uid="{A40E0EBB-9EED-468A-A5DF-91B7548D2FC4}" name="sprint_id" dataDxfId="35"/>
    <tableColumn id="14" xr3:uid="{A9458F61-E0C6-4143-95A1-BDA2E0B0334D}" name="update_flag" dataDxfId="34">
      <calculatedColumnFormula>IF(TaskListTable14_1[[#This Row],[last_update]]&gt;VLOOKUP("LAST-MTG-DATE",DEF_Parameter!$A$3:$D$102,4,FALSE),"YES","")</calculatedColumnFormula>
    </tableColumn>
  </tableColumns>
  <tableStyleInfo name="TableStyleLight21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88C914F-9CDB-451B-943C-206371350E43}" name="StatusRatioTable36_1" displayName="StatusRatioTable36_1" ref="A30:D38" totalsRowShown="0">
  <autoFilter ref="A30:D38" xr:uid="{00000000-0009-0000-0100-000012000000}"/>
  <tableColumns count="4">
    <tableColumn id="1" xr3:uid="{47B4B5F7-2A36-4C88-B523-6EFD05C38A82}" name="Kanban_Status"/>
    <tableColumn id="2" xr3:uid="{FFF08291-91C2-4396-A845-F82499023750}" name="number_of_tasks" dataDxfId="33">
      <calculatedColumnFormula>COUNTIF(TaskListTable14_1[Kanban_Status],StatusRatioTable36_1[[#This Row],[Kanban_Status]])</calculatedColumnFormula>
    </tableColumn>
    <tableColumn id="3" xr3:uid="{32243EE2-28D7-41D2-961D-F8BF71F7A40C}" name="estimated_time_total" dataDxfId="32">
      <calculatedColumnFormula>SUMIF(
  TaskListTable[Kanban_Status],
  StatusRatioTable36_1[[#This Row],[Kanban_Status]],
  TaskListTable[story_point]
)</calculatedColumnFormula>
    </tableColumn>
    <tableColumn id="4" xr3:uid="{E0889708-44A9-4505-9630-F0DA9601BA40}" name="composition_ratio_percent" dataDxfId="31"/>
  </tableColumns>
  <tableStyleInfo name="TableStyleLight21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2CE55411-AF45-42FC-946E-482E0A2203E4}" name="ProjectHeaderInfoTalbe37_1" displayName="ProjectHeaderInfoTalbe37_1" ref="A2:B19" totalsRowShown="0" headerRowDxfId="30" dataDxfId="29">
  <autoFilter ref="A2:B19" xr:uid="{00000000-0009-0000-0100-000013000000}"/>
  <tableColumns count="2">
    <tableColumn id="1" xr3:uid="{27100D0A-C7F3-4260-98EB-E20D4B71AB99}" name="parameter" dataDxfId="28"/>
    <tableColumn id="2" xr3:uid="{7E4893A0-DE54-4B9E-AC4D-C29A4C26438D}" name="value" dataDxfId="27"/>
  </tableColumns>
  <tableStyleInfo name="TableStyleLight21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FAE3F3CC-5E20-4E46-BAC5-421DD8B2DA23}" name="ActionTable38_1" displayName="ActionTable38_1" ref="A23:D26" totalsRowShown="0">
  <autoFilter ref="A23:D26" xr:uid="{00000000-0009-0000-0100-000014000000}"/>
  <tableColumns count="4">
    <tableColumn id="1" xr3:uid="{05189282-45DA-473A-85B2-B5495889BB0B}" name="no"/>
    <tableColumn id="2" xr3:uid="{A5F5D458-0D06-4405-A654-59C8947AE948}" name="action_id"/>
    <tableColumn id="3" xr3:uid="{517BCBC0-D9CA-4B75-BE70-C5B1FA575605}" name="caption"/>
    <tableColumn id="4" xr3:uid="{C1145955-BE84-4CC2-BC45-C6BC562DD5C4}" name="butoon"/>
  </tableColumns>
  <tableStyleInfo name="TableStyleLight21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65584DEA-8AF7-40D4-BD14-703592764298}" name="ScheduleTable39_1" displayName="ScheduleTable39_1" ref="A43:F53" totalsRowShown="0" headerRowDxfId="26" dataDxfId="25">
  <autoFilter ref="A43:F53" xr:uid="{00000000-0009-0000-0100-000015000000}"/>
  <tableColumns count="6">
    <tableColumn id="1" xr3:uid="{291DD57D-5E16-4445-9BA4-EC9C58DBDA16}" name="no" dataDxfId="24"/>
    <tableColumn id="2" xr3:uid="{59C66067-DB50-4629-8E9A-29B0FAE438F1}" name="team" dataDxfId="23"/>
    <tableColumn id="3" xr3:uid="{7D4F6652-2811-4756-8438-CC2DAF63E5E7}" name="task_category" dataDxfId="22"/>
    <tableColumn id="4" xr3:uid="{10E4813C-77E6-4388-B812-C02FB007B16A}" name="summary" dataDxfId="21"/>
    <tableColumn id="5" xr3:uid="{DE935AC6-C21E-4A34-ACF5-2EAC061C0F66}" name="start_date" dataDxfId="20"/>
    <tableColumn id="6" xr3:uid="{A379A421-CC46-44E6-8963-9FF0A4D42241}" name="end_date" dataDxfId="19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ctrlProp" Target="../ctrlProps/ctrlProp9.xml"/><Relationship Id="rId7" Type="http://schemas.openxmlformats.org/officeDocument/2006/relationships/table" Target="../tables/table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ctrlProp" Target="../ctrlProps/ctrlProp10.xml"/><Relationship Id="rId9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3.xml"/><Relationship Id="rId3" Type="http://schemas.openxmlformats.org/officeDocument/2006/relationships/ctrlProp" Target="../ctrlProps/ctrlProp11.xml"/><Relationship Id="rId7" Type="http://schemas.openxmlformats.org/officeDocument/2006/relationships/table" Target="../tables/table2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table" Target="../tables/table21.xml"/><Relationship Id="rId5" Type="http://schemas.openxmlformats.org/officeDocument/2006/relationships/table" Target="../tables/table20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2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8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table" Target="../tables/table34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9.xml"/><Relationship Id="rId3" Type="http://schemas.openxmlformats.org/officeDocument/2006/relationships/ctrlProp" Target="../ctrlProps/ctrlProp13.xml"/><Relationship Id="rId7" Type="http://schemas.openxmlformats.org/officeDocument/2006/relationships/table" Target="../tables/table3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table" Target="../tables/table37.xml"/><Relationship Id="rId5" Type="http://schemas.openxmlformats.org/officeDocument/2006/relationships/table" Target="../tables/table36.xml"/><Relationship Id="rId4" Type="http://schemas.openxmlformats.org/officeDocument/2006/relationships/ctrlProp" Target="../ctrlProps/ctrlProp14.xml"/><Relationship Id="rId9" Type="http://schemas.openxmlformats.org/officeDocument/2006/relationships/table" Target="../tables/table4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0"/>
  <dimension ref="A1:B16"/>
  <sheetViews>
    <sheetView workbookViewId="0">
      <pane xSplit="2" ySplit="3" topLeftCell="C4" activePane="bottomRight" state="frozen"/>
      <selection activeCell="N15" sqref="N15"/>
      <selection pane="topRight" activeCell="N15" sqref="N15"/>
      <selection pane="bottomLeft" activeCell="N15" sqref="N15"/>
      <selection pane="bottomRight" activeCell="D12" sqref="D12"/>
    </sheetView>
  </sheetViews>
  <sheetFormatPr defaultRowHeight="18" x14ac:dyDescent="0.45"/>
  <cols>
    <col min="1" max="1" width="38.09765625" style="1" bestFit="1" customWidth="1"/>
    <col min="2" max="2" width="41" style="1" bestFit="1" customWidth="1"/>
  </cols>
  <sheetData>
    <row r="1" spans="1:2" x14ac:dyDescent="0.45">
      <c r="A1" s="6" t="s">
        <v>0</v>
      </c>
      <c r="B1" s="6" t="s">
        <v>1</v>
      </c>
    </row>
    <row r="2" spans="1:2" x14ac:dyDescent="0.45">
      <c r="A2" s="6" t="s">
        <v>2</v>
      </c>
      <c r="B2" s="6" t="s">
        <v>3</v>
      </c>
    </row>
    <row r="3" spans="1:2" x14ac:dyDescent="0.45">
      <c r="A3" s="6" t="s">
        <v>4</v>
      </c>
      <c r="B3" s="13" t="s">
        <v>5</v>
      </c>
    </row>
    <row r="6" spans="1:2" x14ac:dyDescent="0.45">
      <c r="A6" t="s">
        <v>6</v>
      </c>
    </row>
    <row r="7" spans="1:2" x14ac:dyDescent="0.45">
      <c r="A7" s="6" t="s">
        <v>0</v>
      </c>
      <c r="B7" s="6" t="s">
        <v>1</v>
      </c>
    </row>
    <row r="8" spans="1:2" x14ac:dyDescent="0.45">
      <c r="A8" s="6" t="s">
        <v>7</v>
      </c>
      <c r="B8" s="6"/>
    </row>
    <row r="11" spans="1:2" x14ac:dyDescent="0.45">
      <c r="A11" t="s">
        <v>8</v>
      </c>
    </row>
    <row r="12" spans="1:2" x14ac:dyDescent="0.45">
      <c r="A12" s="22" t="s">
        <v>0</v>
      </c>
      <c r="B12" s="22" t="s">
        <v>1</v>
      </c>
    </row>
    <row r="13" spans="1:2" x14ac:dyDescent="0.45">
      <c r="A13" s="23" t="s">
        <v>378</v>
      </c>
      <c r="B13" s="14"/>
    </row>
    <row r="14" spans="1:2" x14ac:dyDescent="0.45">
      <c r="A14" s="23" t="s">
        <v>10</v>
      </c>
      <c r="B14" s="14"/>
    </row>
    <row r="15" spans="1:2" x14ac:dyDescent="0.45">
      <c r="A15" s="23" t="s">
        <v>11</v>
      </c>
      <c r="B15" s="14"/>
    </row>
    <row r="16" spans="1:2" x14ac:dyDescent="0.45">
      <c r="A16" s="23" t="s">
        <v>12</v>
      </c>
      <c r="B16" s="14"/>
    </row>
  </sheetData>
  <phoneticPr fontId="3"/>
  <dataValidations count="4">
    <dataValidation type="list" allowBlank="1" showInputMessage="1" showErrorMessage="1" sqref="B2" xr:uid="{00000000-0002-0000-0000-000000000000}">
      <formula1>lstSheetRole</formula1>
    </dataValidation>
    <dataValidation type="list" allowBlank="1" showInputMessage="1" showErrorMessage="1" sqref="B8 B15" xr:uid="{00000000-0002-0000-0000-000001000000}">
      <formula1>lstOwner</formula1>
    </dataValidation>
    <dataValidation type="list" allowBlank="1" showInputMessage="1" showErrorMessage="1" sqref="B14" xr:uid="{00000000-0002-0000-0000-000002000000}">
      <formula1>lstProjectCategory</formula1>
    </dataValidation>
    <dataValidation type="list" allowBlank="1" showInputMessage="1" showErrorMessage="1" sqref="B16" xr:uid="{00000000-0002-0000-0000-000003000000}">
      <formula1>"25,26,27,28,29,30,31,32,33,34,35"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9" r:id="rId3" name="Button 3">
              <controlPr defaultSize="0" print="0" autoFill="0" autoPict="0" macro="[0]!AddProjectSheet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4" name="Button 4">
              <controlPr defaultSize="0" print="0" autoFill="0" autoPict="0" macro="[0]!AddPersonalTaskSheet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6F7B-6500-4516-BCD8-E79E1D0347ED}">
  <sheetPr codeName="Sheet15"/>
  <dimension ref="A1:I11"/>
  <sheetViews>
    <sheetView workbookViewId="0">
      <selection activeCell="D7" sqref="D7"/>
    </sheetView>
  </sheetViews>
  <sheetFormatPr defaultRowHeight="18" x14ac:dyDescent="0.45"/>
  <cols>
    <col min="1" max="1" width="22.5" bestFit="1" customWidth="1"/>
    <col min="2" max="2" width="21.09765625" bestFit="1" customWidth="1"/>
    <col min="3" max="3" width="23.09765625" customWidth="1"/>
    <col min="4" max="4" width="47.3984375" bestFit="1" customWidth="1"/>
    <col min="5" max="5" width="8.796875" customWidth="1"/>
  </cols>
  <sheetData>
    <row r="1" spans="1:9" x14ac:dyDescent="0.45">
      <c r="A1" t="s">
        <v>13</v>
      </c>
      <c r="B1" s="1"/>
      <c r="C1" s="1"/>
      <c r="D1" s="1"/>
      <c r="E1" s="1"/>
      <c r="F1" s="1"/>
      <c r="G1" s="1"/>
      <c r="H1" s="1"/>
      <c r="I1" s="1"/>
    </row>
    <row r="2" spans="1:9" x14ac:dyDescent="0.45">
      <c r="A2" t="s">
        <v>0</v>
      </c>
      <c r="B2" t="s">
        <v>1</v>
      </c>
      <c r="C2" s="1"/>
      <c r="D2" s="1"/>
      <c r="E2" s="1"/>
      <c r="F2" s="3"/>
      <c r="G2" s="3"/>
      <c r="H2" s="1"/>
      <c r="I2" s="1"/>
    </row>
    <row r="3" spans="1:9" x14ac:dyDescent="0.45">
      <c r="A3" t="s">
        <v>2</v>
      </c>
      <c r="B3" t="s">
        <v>14</v>
      </c>
      <c r="C3" s="1"/>
      <c r="D3" s="1"/>
      <c r="E3" s="1"/>
      <c r="F3" s="1"/>
      <c r="G3" s="1"/>
      <c r="H3" s="1"/>
      <c r="I3" s="1"/>
    </row>
    <row r="4" spans="1:9" x14ac:dyDescent="0.45">
      <c r="A4" t="s">
        <v>4</v>
      </c>
      <c r="B4" s="3" t="s">
        <v>15</v>
      </c>
      <c r="C4" s="1"/>
      <c r="D4" s="1"/>
      <c r="E4" s="1"/>
      <c r="F4" s="1"/>
      <c r="G4" s="1"/>
      <c r="H4" s="1"/>
      <c r="I4" s="1"/>
    </row>
    <row r="5" spans="1:9" x14ac:dyDescent="0.45">
      <c r="A5" s="1"/>
      <c r="B5" s="1"/>
      <c r="C5" s="1"/>
      <c r="D5" s="1"/>
      <c r="E5" s="1"/>
      <c r="F5" s="1"/>
      <c r="G5" s="1"/>
      <c r="H5" s="1"/>
      <c r="I5" s="1"/>
    </row>
    <row r="6" spans="1:9" x14ac:dyDescent="0.45">
      <c r="A6" s="1"/>
      <c r="B6" s="1"/>
      <c r="C6" s="1"/>
      <c r="D6" s="1"/>
      <c r="E6" s="1"/>
      <c r="F6" s="1"/>
      <c r="G6" s="1"/>
      <c r="H6" s="1"/>
      <c r="I6" s="1"/>
    </row>
    <row r="7" spans="1:9" x14ac:dyDescent="0.45">
      <c r="A7" s="1"/>
      <c r="B7" s="1"/>
      <c r="C7" s="1"/>
      <c r="D7" s="1"/>
      <c r="E7" s="1"/>
      <c r="F7" s="1"/>
      <c r="G7" s="1"/>
      <c r="H7" s="1"/>
      <c r="I7" s="1"/>
    </row>
    <row r="8" spans="1:9" x14ac:dyDescent="0.45">
      <c r="A8" t="s">
        <v>16</v>
      </c>
      <c r="B8" s="1"/>
      <c r="C8" s="1"/>
      <c r="D8" s="1"/>
      <c r="E8" s="1"/>
      <c r="F8" s="1"/>
      <c r="G8" s="1"/>
      <c r="H8" s="1"/>
      <c r="I8" s="1"/>
    </row>
    <row r="9" spans="1:9" x14ac:dyDescent="0.45">
      <c r="A9" s="17" t="s">
        <v>17</v>
      </c>
      <c r="B9" s="17" t="s">
        <v>18</v>
      </c>
      <c r="C9" s="17" t="s">
        <v>19</v>
      </c>
      <c r="D9" s="17" t="s">
        <v>20</v>
      </c>
      <c r="E9" s="1"/>
      <c r="F9" s="1"/>
      <c r="G9" s="1"/>
      <c r="H9" s="1"/>
      <c r="I9" s="1"/>
    </row>
    <row r="10" spans="1:9" x14ac:dyDescent="0.45">
      <c r="A10" s="17">
        <v>1</v>
      </c>
      <c r="B10" s="17" t="s">
        <v>385</v>
      </c>
      <c r="C10" s="18"/>
      <c r="D10" s="17" t="s">
        <v>386</v>
      </c>
      <c r="E10" s="1"/>
      <c r="F10" s="1"/>
      <c r="G10" s="1"/>
      <c r="H10" s="1"/>
      <c r="I10" s="1"/>
    </row>
    <row r="11" spans="1:9" x14ac:dyDescent="0.45">
      <c r="A11" s="17">
        <v>2</v>
      </c>
      <c r="B11" s="17" t="s">
        <v>387</v>
      </c>
      <c r="C11" s="18"/>
      <c r="D11" s="17" t="s">
        <v>388</v>
      </c>
    </row>
  </sheetData>
  <phoneticPr fontId="3"/>
  <dataValidations disablePrompts="1" count="1">
    <dataValidation type="list" allowBlank="1" showInputMessage="1" showErrorMessage="1" sqref="B3" xr:uid="{D21EDCAE-9001-4FF6-A718-EA2022B8D9C2}">
      <formula1>lstSheetRole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Button 1">
              <controlPr defaultSize="0" print="0" autoFill="0" autoPict="0" macro="[0]!UpdateLastMtg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4" name="Button 3">
              <controlPr defaultSize="0" print="0" autoFill="0" autoPict="0" macro="[0]!UpdateAll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37"/>
  <sheetViews>
    <sheetView topLeftCell="A13" workbookViewId="0">
      <selection activeCell="B29" sqref="B29"/>
    </sheetView>
  </sheetViews>
  <sheetFormatPr defaultRowHeight="18" x14ac:dyDescent="0.45"/>
  <cols>
    <col min="1" max="1" width="22.5" style="1" bestFit="1" customWidth="1"/>
    <col min="2" max="2" width="17.8984375" style="1" bestFit="1" customWidth="1"/>
    <col min="3" max="3" width="10.3984375" style="1" bestFit="1" customWidth="1"/>
    <col min="4" max="4" width="19.19921875" style="1" bestFit="1" customWidth="1"/>
  </cols>
  <sheetData>
    <row r="1" spans="1:4" x14ac:dyDescent="0.45">
      <c r="A1" t="s">
        <v>13</v>
      </c>
    </row>
    <row r="2" spans="1:4" x14ac:dyDescent="0.45">
      <c r="A2" t="s">
        <v>0</v>
      </c>
      <c r="B2" t="s">
        <v>1</v>
      </c>
    </row>
    <row r="3" spans="1:4" x14ac:dyDescent="0.45">
      <c r="A3" t="s">
        <v>2</v>
      </c>
      <c r="B3" t="s">
        <v>259</v>
      </c>
    </row>
    <row r="4" spans="1:4" x14ac:dyDescent="0.45">
      <c r="A4" t="s">
        <v>4</v>
      </c>
      <c r="B4" s="3" t="s">
        <v>390</v>
      </c>
    </row>
    <row r="8" spans="1:4" x14ac:dyDescent="0.45">
      <c r="A8" t="s">
        <v>16</v>
      </c>
    </row>
    <row r="9" spans="1:4" x14ac:dyDescent="0.45">
      <c r="A9" s="17" t="s">
        <v>17</v>
      </c>
      <c r="B9" s="17" t="s">
        <v>18</v>
      </c>
      <c r="C9" s="17" t="s">
        <v>19</v>
      </c>
      <c r="D9" s="17" t="s">
        <v>20</v>
      </c>
    </row>
    <row r="10" spans="1:4" x14ac:dyDescent="0.45">
      <c r="A10" s="17">
        <v>1</v>
      </c>
      <c r="B10" s="17" t="s">
        <v>21</v>
      </c>
      <c r="C10" s="18"/>
      <c r="D10" s="17" t="s">
        <v>22</v>
      </c>
    </row>
    <row r="11" spans="1:4" x14ac:dyDescent="0.45">
      <c r="A11" s="17">
        <v>2</v>
      </c>
      <c r="B11" s="17" t="s">
        <v>23</v>
      </c>
      <c r="C11" s="18"/>
      <c r="D11" s="17" t="s">
        <v>24</v>
      </c>
    </row>
    <row r="15" spans="1:4" x14ac:dyDescent="0.45">
      <c r="A15" t="s">
        <v>25</v>
      </c>
    </row>
    <row r="16" spans="1:4" x14ac:dyDescent="0.45">
      <c r="A16" t="s">
        <v>17</v>
      </c>
      <c r="B16" t="s">
        <v>26</v>
      </c>
      <c r="C16" t="s">
        <v>2</v>
      </c>
      <c r="D16" t="s">
        <v>4</v>
      </c>
    </row>
    <row r="17" spans="1:4" x14ac:dyDescent="0.45">
      <c r="A17">
        <v>1</v>
      </c>
      <c r="B17" s="2" t="s">
        <v>439</v>
      </c>
    </row>
    <row r="18" spans="1:4" x14ac:dyDescent="0.45">
      <c r="A18">
        <v>2</v>
      </c>
      <c r="B18" s="2" t="s">
        <v>27</v>
      </c>
      <c r="C18"/>
      <c r="D18"/>
    </row>
    <row r="19" spans="1:4" x14ac:dyDescent="0.45">
      <c r="A19">
        <v>3</v>
      </c>
      <c r="B19" s="2" t="s">
        <v>28</v>
      </c>
      <c r="C19" t="s">
        <v>29</v>
      </c>
      <c r="D19" t="s">
        <v>30</v>
      </c>
    </row>
    <row r="20" spans="1:4" x14ac:dyDescent="0.45">
      <c r="A20">
        <v>4</v>
      </c>
      <c r="B20" s="2" t="s">
        <v>31</v>
      </c>
      <c r="C20" s="1" t="s">
        <v>3</v>
      </c>
      <c r="D20" s="1" t="s">
        <v>32</v>
      </c>
    </row>
    <row r="21" spans="1:4" x14ac:dyDescent="0.45">
      <c r="A21">
        <v>5</v>
      </c>
      <c r="B21" s="2" t="s">
        <v>33</v>
      </c>
    </row>
    <row r="22" spans="1:4" x14ac:dyDescent="0.45">
      <c r="A22">
        <v>6</v>
      </c>
      <c r="B22" s="2" t="s">
        <v>34</v>
      </c>
    </row>
    <row r="23" spans="1:4" x14ac:dyDescent="0.45">
      <c r="A23">
        <v>7</v>
      </c>
      <c r="B23" s="2" t="s">
        <v>554</v>
      </c>
    </row>
    <row r="24" spans="1:4" x14ac:dyDescent="0.45">
      <c r="A24">
        <v>8</v>
      </c>
      <c r="B24" s="2" t="s">
        <v>35</v>
      </c>
    </row>
    <row r="25" spans="1:4" x14ac:dyDescent="0.45">
      <c r="A25">
        <v>9</v>
      </c>
      <c r="B25" s="2" t="s">
        <v>36</v>
      </c>
    </row>
    <row r="26" spans="1:4" x14ac:dyDescent="0.45">
      <c r="A26">
        <v>10</v>
      </c>
      <c r="B26" s="2" t="s">
        <v>37</v>
      </c>
      <c r="C26"/>
      <c r="D26"/>
    </row>
    <row r="27" spans="1:4" x14ac:dyDescent="0.45">
      <c r="A27">
        <v>11</v>
      </c>
      <c r="B27" s="2" t="s">
        <v>38</v>
      </c>
      <c r="C27"/>
      <c r="D27"/>
    </row>
    <row r="28" spans="1:4" x14ac:dyDescent="0.45">
      <c r="A28">
        <v>12</v>
      </c>
      <c r="B28" s="2" t="s">
        <v>555</v>
      </c>
    </row>
    <row r="29" spans="1:4" x14ac:dyDescent="0.45">
      <c r="A29">
        <v>13</v>
      </c>
      <c r="B29" s="2" t="s">
        <v>440</v>
      </c>
      <c r="C29" t="s">
        <v>242</v>
      </c>
      <c r="D29" t="s">
        <v>441</v>
      </c>
    </row>
    <row r="30" spans="1:4" x14ac:dyDescent="0.45">
      <c r="A30">
        <v>14</v>
      </c>
      <c r="B30" s="2" t="s">
        <v>39</v>
      </c>
      <c r="C30" t="s">
        <v>40</v>
      </c>
      <c r="D30" t="s">
        <v>4</v>
      </c>
    </row>
    <row r="31" spans="1:4" x14ac:dyDescent="0.45">
      <c r="A31">
        <v>15</v>
      </c>
      <c r="B31" s="2" t="s">
        <v>41</v>
      </c>
      <c r="C31"/>
      <c r="D31"/>
    </row>
    <row r="32" spans="1:4" x14ac:dyDescent="0.45">
      <c r="A32">
        <v>16</v>
      </c>
      <c r="B32" s="2" t="s">
        <v>42</v>
      </c>
      <c r="D32"/>
    </row>
    <row r="33" spans="1:4" x14ac:dyDescent="0.45">
      <c r="A33">
        <v>17</v>
      </c>
      <c r="B33" s="2" t="s">
        <v>380</v>
      </c>
      <c r="C33" s="1" t="s">
        <v>46</v>
      </c>
      <c r="D33" s="1" t="s">
        <v>451</v>
      </c>
    </row>
    <row r="34" spans="1:4" x14ac:dyDescent="0.45">
      <c r="A34">
        <v>18</v>
      </c>
      <c r="B34" s="2" t="s">
        <v>556</v>
      </c>
      <c r="C34" s="1" t="s">
        <v>29</v>
      </c>
      <c r="D34" s="1" t="s">
        <v>30</v>
      </c>
    </row>
    <row r="35" spans="1:4" x14ac:dyDescent="0.45">
      <c r="A35">
        <v>19</v>
      </c>
      <c r="B35" s="2" t="s">
        <v>43</v>
      </c>
    </row>
    <row r="36" spans="1:4" x14ac:dyDescent="0.45">
      <c r="A36">
        <v>20</v>
      </c>
      <c r="B36" s="2" t="s">
        <v>442</v>
      </c>
    </row>
    <row r="37" spans="1:4" x14ac:dyDescent="0.45">
      <c r="A37">
        <v>21</v>
      </c>
      <c r="B37" s="2" t="s">
        <v>44</v>
      </c>
    </row>
  </sheetData>
  <phoneticPr fontId="3"/>
  <dataValidations count="1">
    <dataValidation type="list" allowBlank="1" showInputMessage="1" showErrorMessage="1" sqref="B3" xr:uid="{00000000-0002-0000-0100-000000000000}">
      <formula1>lstSheetRole</formula1>
    </dataValidation>
  </dataValidations>
  <hyperlinks>
    <hyperlink ref="B17" location="'DEF_ActionType'!A1" display="DEF_ActionType" xr:uid="{8EFA9FFA-2C8E-4A6A-8A5B-6DA32959A309}"/>
    <hyperlink ref="B18" location="'DEF_MoSCoW'!A1" display="DEF_MoSCoW" xr:uid="{F4B8E902-A7DA-458A-82C2-683B5C50C6E6}"/>
    <hyperlink ref="B19" location="'DEF_PJ-CATEGORY-FY-SEQ'!A1" display="DEF_PJ-CATEGORY-FY-SEQ" xr:uid="{26D9F8B0-BB1D-421F-9D57-63B6CD684A98}"/>
    <hyperlink ref="B20" location="'DEF_PT-Name'!A1" display="DEF_PT-Name" xr:uid="{8B5668D3-3FC5-46B0-BF60-9FA8A7D4814A}"/>
    <hyperlink ref="B21" location="'DEF_Parameter'!A1" display="DEF_Parameter" xr:uid="{EB13ECE1-0F6A-4410-A7E8-FC4CB5DA652D}"/>
    <hyperlink ref="B22" location="'DEF_SheetPrefix'!A1" display="DEF_SheetPrefix" xr:uid="{5EA81086-1ED8-42B2-AEB0-9E8178E8D38D}"/>
    <hyperlink ref="B23" location="'DEF_event_type'!A1" display="DEF_event_type" xr:uid="{2BB02854-E162-413A-BBD5-C48ACEAE29D6}"/>
    <hyperlink ref="B24" location="'DEF_owner'!A1" display="DEF_owner" xr:uid="{89C12C89-2B6F-4E0F-A958-C3DF497C22B0}"/>
    <hyperlink ref="B25" location="'DEF_project_category'!A1" display="DEF_project_category" xr:uid="{F0D51DE9-7DAA-4CCE-AE9A-34AD83DA524F}"/>
    <hyperlink ref="B26" location="'DEF_sheet_role'!A1" display="DEF_sheet_role" xr:uid="{559CE017-790B-4866-8579-938579AB4B9A}"/>
    <hyperlink ref="B27" location="'DEF_story_point'!A1" display="DEF_story_point" xr:uid="{3AC84AA8-B8CD-4BB5-B5AB-BF772EC5E5AD}"/>
    <hyperlink ref="B28" location="'DEF_time_coverage'!A1" display="DEF_time_coverage" xr:uid="{2E414233-396A-476B-ABD7-FAC207593538}"/>
    <hyperlink ref="B29" location="'LOG_UpdateHistory'!A1" display="LOG_UpdateHistory" xr:uid="{38628F37-6795-4AB1-97EA-2845B827446A}"/>
    <hyperlink ref="B30" location="'M_Cov_WBS-Obsidian'!A1" display="M_Cov_WBS-Obsidian" xr:uid="{3E26FD3E-C8E1-4B9F-B942-D7061BEB7621}"/>
    <hyperlink ref="B31" location="'M_DoD_check'!A1" display="M_DoD_check" xr:uid="{284BC4A4-0AE3-47D4-A0E8-05AD1AFA4C75}"/>
    <hyperlink ref="B32" location="'M_Kanban_Status'!A1" display="M_Kanban_Status" xr:uid="{C2E044AC-3CDE-4C2A-9EC0-EB3FBF491C81}"/>
    <hyperlink ref="B33" location="'OUT_TaskUrgent'!A1" display="OUT_TaskUrgent" xr:uid="{7C094980-C9B5-40A7-A462-B83B7E56BA44}"/>
    <hyperlink ref="B34" location="'PJ-INFRA-26-01'!A1" display="PJ-INFRA-26-01" xr:uid="{67499FFF-CAF9-4F7C-83ED-25B2CF197DD6}"/>
    <hyperlink ref="B35" location="'UI_AddSheet'!A1" display="UI_AddSheet" xr:uid="{F8C8F83A-4B07-4830-BC06-57BC2A655D56}"/>
    <hyperlink ref="B36" location="'UI_Dashboard'!A1" display="UI_Dashboard" xr:uid="{0682A9CF-0BF8-494F-BDF1-5D1C5C303609}"/>
    <hyperlink ref="B37" location="'UI_ProjectIndex'!A1" display="UI_ProjectIndex" xr:uid="{9509C2F2-0BF0-4B8A-8EDF-13EB7835B0B3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Button 1">
              <controlPr defaultSize="0" print="0" autoFill="0" autoPict="0" macro="[0]!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Button 2">
              <controlPr defaultSize="0" print="0" autoFill="0" autoPict="0" macro="[0]!SortSheets">
                <anchor moveWithCells="1" siz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J22"/>
  <sheetViews>
    <sheetView workbookViewId="0">
      <selection activeCell="A3" sqref="A3:B4"/>
    </sheetView>
  </sheetViews>
  <sheetFormatPr defaultRowHeight="18" x14ac:dyDescent="0.45"/>
  <cols>
    <col min="1" max="1" width="22.5" style="1" bestFit="1" customWidth="1"/>
    <col min="2" max="2" width="21.09765625" style="1" bestFit="1" customWidth="1"/>
    <col min="3" max="3" width="13.8984375" style="1" customWidth="1"/>
    <col min="4" max="4" width="31.59765625" style="1" bestFit="1" customWidth="1"/>
    <col min="5" max="5" width="18.09765625" style="1" customWidth="1"/>
    <col min="6" max="6" width="11.09765625" style="1" customWidth="1"/>
    <col min="7" max="7" width="13.5" style="1" customWidth="1"/>
    <col min="8" max="8" width="16.3984375" style="1" customWidth="1"/>
    <col min="9" max="9" width="18.59765625" style="1" bestFit="1" customWidth="1"/>
  </cols>
  <sheetData>
    <row r="1" spans="1:10" x14ac:dyDescent="0.45">
      <c r="A1" t="s">
        <v>13</v>
      </c>
    </row>
    <row r="2" spans="1:10" x14ac:dyDescent="0.45">
      <c r="A2" t="s">
        <v>0</v>
      </c>
      <c r="B2" t="s">
        <v>1</v>
      </c>
      <c r="F2" s="3"/>
      <c r="G2" s="3"/>
    </row>
    <row r="3" spans="1:10" x14ac:dyDescent="0.45">
      <c r="A3" t="s">
        <v>2</v>
      </c>
      <c r="B3" t="s">
        <v>259</v>
      </c>
    </row>
    <row r="4" spans="1:10" x14ac:dyDescent="0.45">
      <c r="A4" t="s">
        <v>4</v>
      </c>
      <c r="B4" s="3" t="s">
        <v>389</v>
      </c>
    </row>
    <row r="8" spans="1:10" x14ac:dyDescent="0.45">
      <c r="A8" t="s">
        <v>16</v>
      </c>
    </row>
    <row r="9" spans="1:10" x14ac:dyDescent="0.45">
      <c r="A9" s="17" t="s">
        <v>17</v>
      </c>
      <c r="B9" s="17" t="s">
        <v>18</v>
      </c>
      <c r="C9" s="17" t="s">
        <v>19</v>
      </c>
      <c r="D9" s="17" t="s">
        <v>20</v>
      </c>
    </row>
    <row r="10" spans="1:10" x14ac:dyDescent="0.45">
      <c r="A10" s="17">
        <v>1</v>
      </c>
      <c r="B10" s="17" t="s">
        <v>65</v>
      </c>
      <c r="C10" s="18"/>
      <c r="D10" s="17" t="s">
        <v>66</v>
      </c>
    </row>
    <row r="14" spans="1:10" x14ac:dyDescent="0.45">
      <c r="A14" t="s">
        <v>67</v>
      </c>
    </row>
    <row r="15" spans="1:10" x14ac:dyDescent="0.45">
      <c r="A15" t="s">
        <v>17</v>
      </c>
      <c r="B15" t="s">
        <v>68</v>
      </c>
      <c r="C15" t="s">
        <v>378</v>
      </c>
      <c r="D15" t="s">
        <v>383</v>
      </c>
      <c r="E15" t="s">
        <v>10</v>
      </c>
      <c r="F15" t="s">
        <v>69</v>
      </c>
      <c r="G15" t="s">
        <v>4</v>
      </c>
      <c r="H15" t="s">
        <v>62</v>
      </c>
      <c r="I15" t="s">
        <v>11</v>
      </c>
      <c r="J15" t="s">
        <v>61</v>
      </c>
    </row>
    <row r="16" spans="1:10" x14ac:dyDescent="0.45">
      <c r="A16"/>
      <c r="B16"/>
      <c r="C16" s="2"/>
      <c r="D16" s="2"/>
      <c r="E16"/>
      <c r="G16"/>
      <c r="H16"/>
      <c r="I16"/>
      <c r="J16" s="21"/>
    </row>
    <row r="17" spans="1:10" x14ac:dyDescent="0.45">
      <c r="C17" s="2"/>
      <c r="D17" s="2"/>
      <c r="J17" s="21"/>
    </row>
    <row r="18" spans="1:10" x14ac:dyDescent="0.45">
      <c r="A18"/>
      <c r="B18"/>
      <c r="C18" s="2"/>
      <c r="D18"/>
      <c r="E18"/>
      <c r="F18"/>
      <c r="G18"/>
      <c r="H18"/>
      <c r="I18" s="19"/>
    </row>
    <row r="19" spans="1:10" x14ac:dyDescent="0.45">
      <c r="A19"/>
      <c r="B19"/>
      <c r="C19"/>
      <c r="D19"/>
      <c r="E19"/>
      <c r="F19"/>
      <c r="G19"/>
      <c r="I19" s="19"/>
    </row>
    <row r="20" spans="1:10" x14ac:dyDescent="0.45">
      <c r="A20"/>
      <c r="B20"/>
      <c r="C20"/>
      <c r="E20"/>
      <c r="F20"/>
      <c r="G20"/>
      <c r="I20" s="20"/>
    </row>
    <row r="21" spans="1:10" x14ac:dyDescent="0.45">
      <c r="A21"/>
      <c r="B21"/>
      <c r="C21"/>
      <c r="E21"/>
      <c r="F21"/>
      <c r="G21"/>
      <c r="H21"/>
      <c r="I21" s="21"/>
    </row>
    <row r="22" spans="1:10" x14ac:dyDescent="0.45">
      <c r="A22"/>
      <c r="B22"/>
      <c r="C22"/>
      <c r="E22"/>
      <c r="F22"/>
      <c r="G22"/>
      <c r="H22"/>
      <c r="I22" s="20"/>
    </row>
  </sheetData>
  <phoneticPr fontId="3"/>
  <dataValidations count="1">
    <dataValidation type="list" allowBlank="1" showInputMessage="1" showErrorMessage="1" sqref="B3" xr:uid="{00000000-0002-0000-0300-000000000000}">
      <formula1>lstSheetRole</formula1>
    </dataValidation>
  </dataValidation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ojectIndexUpdate">
                <anchor moveWithCells="1" sizeWithCells="1">
                  <from>
                    <xdr:col>2</xdr:col>
                    <xdr:colOff>0</xdr:colOff>
                    <xdr:row>9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4"/>
  <dimension ref="A1:R213"/>
  <sheetViews>
    <sheetView workbookViewId="0">
      <selection activeCell="H27" sqref="H27"/>
    </sheetView>
  </sheetViews>
  <sheetFormatPr defaultRowHeight="18" x14ac:dyDescent="0.45"/>
  <cols>
    <col min="1" max="1" width="21" style="1" bestFit="1" customWidth="1"/>
    <col min="2" max="2" width="19.8984375" style="1" bestFit="1" customWidth="1"/>
    <col min="3" max="3" width="17.59765625" style="1" customWidth="1"/>
    <col min="4" max="4" width="17.19921875" style="1" bestFit="1" customWidth="1"/>
    <col min="5" max="5" width="12.796875" style="1" customWidth="1"/>
    <col min="6" max="6" width="11.09765625" style="1" customWidth="1"/>
    <col min="7" max="7" width="16.3984375" style="1" customWidth="1"/>
    <col min="8" max="8" width="18.796875" style="1" customWidth="1"/>
    <col min="9" max="9" width="16.59765625" style="1" customWidth="1"/>
    <col min="10" max="10" width="18.59765625" style="1" customWidth="1"/>
    <col min="11" max="11" width="12.8984375" style="1" customWidth="1"/>
    <col min="12" max="12" width="13.09765625" style="1" customWidth="1"/>
    <col min="13" max="13" width="12.09765625" style="1" customWidth="1"/>
    <col min="14" max="14" width="15.8984375" style="1" bestFit="1" customWidth="1"/>
    <col min="15" max="15" width="13.3984375" style="1" customWidth="1"/>
    <col min="16" max="16" width="13.5" style="1" customWidth="1"/>
    <col min="17" max="17" width="13.59765625" style="1" customWidth="1"/>
    <col min="18" max="18" width="10.5" style="1" customWidth="1"/>
  </cols>
  <sheetData>
    <row r="1" spans="1:18" x14ac:dyDescent="0.45">
      <c r="A1" t="s">
        <v>397</v>
      </c>
    </row>
    <row r="2" spans="1:18" x14ac:dyDescent="0.45">
      <c r="A2" t="s">
        <v>0</v>
      </c>
      <c r="B2" t="s">
        <v>1</v>
      </c>
    </row>
    <row r="3" spans="1:18" x14ac:dyDescent="0.45">
      <c r="A3" t="s">
        <v>2</v>
      </c>
      <c r="B3" t="s">
        <v>46</v>
      </c>
    </row>
    <row r="4" spans="1:18" x14ac:dyDescent="0.45">
      <c r="A4" t="s">
        <v>4</v>
      </c>
      <c r="B4" s="3" t="s">
        <v>452</v>
      </c>
    </row>
    <row r="7" spans="1:18" x14ac:dyDescent="0.45">
      <c r="A7" t="s">
        <v>16</v>
      </c>
    </row>
    <row r="8" spans="1:18" x14ac:dyDescent="0.45">
      <c r="A8" t="s">
        <v>17</v>
      </c>
      <c r="B8" t="s">
        <v>18</v>
      </c>
      <c r="C8" t="s">
        <v>19</v>
      </c>
      <c r="D8" t="s">
        <v>20</v>
      </c>
    </row>
    <row r="9" spans="1:18" x14ac:dyDescent="0.45">
      <c r="A9">
        <v>1</v>
      </c>
      <c r="B9" t="s">
        <v>47</v>
      </c>
      <c r="D9" t="s">
        <v>48</v>
      </c>
    </row>
    <row r="12" spans="1:18" x14ac:dyDescent="0.45">
      <c r="A12" t="s">
        <v>49</v>
      </c>
    </row>
    <row r="13" spans="1:18" x14ac:dyDescent="0.45">
      <c r="A13" t="s">
        <v>17</v>
      </c>
      <c r="B13" t="s">
        <v>50</v>
      </c>
      <c r="C13" t="s">
        <v>51</v>
      </c>
      <c r="D13" t="s">
        <v>52</v>
      </c>
      <c r="E13" t="s">
        <v>53</v>
      </c>
      <c r="F13" t="s">
        <v>4</v>
      </c>
      <c r="G13" t="s">
        <v>11</v>
      </c>
      <c r="H13" t="s">
        <v>54</v>
      </c>
      <c r="I13" t="s">
        <v>55</v>
      </c>
      <c r="J13" t="s">
        <v>56</v>
      </c>
      <c r="K13" t="s">
        <v>57</v>
      </c>
      <c r="L13" t="s">
        <v>58</v>
      </c>
      <c r="M13" t="s">
        <v>59</v>
      </c>
      <c r="N13" t="s">
        <v>60</v>
      </c>
      <c r="O13" t="s">
        <v>61</v>
      </c>
      <c r="P13" t="s">
        <v>62</v>
      </c>
      <c r="Q13" t="s">
        <v>63</v>
      </c>
      <c r="R13" t="s">
        <v>64</v>
      </c>
    </row>
    <row r="14" spans="1:18" x14ac:dyDescent="0.45">
      <c r="A14"/>
      <c r="M14" s="26"/>
      <c r="N14" s="26"/>
      <c r="O14" s="26"/>
    </row>
    <row r="15" spans="1:18" x14ac:dyDescent="0.45">
      <c r="A15"/>
      <c r="M15" s="26"/>
      <c r="N15" s="26"/>
      <c r="O15" s="26"/>
    </row>
    <row r="16" spans="1:18" x14ac:dyDescent="0.45">
      <c r="A16"/>
      <c r="M16" s="26"/>
      <c r="N16" s="26"/>
      <c r="O16" s="26"/>
    </row>
    <row r="17" spans="1:15" x14ac:dyDescent="0.45">
      <c r="A17"/>
      <c r="M17" s="26"/>
      <c r="N17" s="26"/>
      <c r="O17" s="26"/>
    </row>
    <row r="18" spans="1:15" x14ac:dyDescent="0.45">
      <c r="A18"/>
      <c r="M18" s="26"/>
      <c r="N18" s="26"/>
      <c r="O18" s="26"/>
    </row>
    <row r="19" spans="1:15" x14ac:dyDescent="0.45">
      <c r="A19"/>
      <c r="M19" s="26"/>
      <c r="N19" s="26"/>
      <c r="O19" s="26"/>
    </row>
    <row r="20" spans="1:15" x14ac:dyDescent="0.45">
      <c r="A20"/>
    </row>
    <row r="21" spans="1:15" x14ac:dyDescent="0.45">
      <c r="A21"/>
    </row>
    <row r="22" spans="1:15" x14ac:dyDescent="0.45">
      <c r="A22"/>
    </row>
    <row r="23" spans="1:15" x14ac:dyDescent="0.45">
      <c r="A23"/>
    </row>
    <row r="24" spans="1:15" x14ac:dyDescent="0.45">
      <c r="A24"/>
    </row>
    <row r="25" spans="1:15" x14ac:dyDescent="0.45">
      <c r="A25"/>
    </row>
    <row r="26" spans="1:15" x14ac:dyDescent="0.45">
      <c r="A26"/>
    </row>
    <row r="27" spans="1:15" x14ac:dyDescent="0.45">
      <c r="A27"/>
    </row>
    <row r="28" spans="1:15" x14ac:dyDescent="0.45">
      <c r="A28"/>
    </row>
    <row r="29" spans="1:15" x14ac:dyDescent="0.45">
      <c r="A29"/>
    </row>
    <row r="30" spans="1:15" x14ac:dyDescent="0.45">
      <c r="A30"/>
    </row>
    <row r="31" spans="1:15" x14ac:dyDescent="0.45">
      <c r="A31"/>
    </row>
    <row r="32" spans="1:15" x14ac:dyDescent="0.45">
      <c r="A32"/>
    </row>
    <row r="33" spans="1:1" x14ac:dyDescent="0.45">
      <c r="A33"/>
    </row>
    <row r="34" spans="1:1" x14ac:dyDescent="0.45">
      <c r="A34"/>
    </row>
    <row r="35" spans="1:1" x14ac:dyDescent="0.45">
      <c r="A35"/>
    </row>
    <row r="36" spans="1:1" x14ac:dyDescent="0.45">
      <c r="A36"/>
    </row>
    <row r="37" spans="1:1" x14ac:dyDescent="0.45">
      <c r="A37"/>
    </row>
    <row r="38" spans="1:1" x14ac:dyDescent="0.45">
      <c r="A38"/>
    </row>
    <row r="39" spans="1:1" x14ac:dyDescent="0.45">
      <c r="A39"/>
    </row>
    <row r="40" spans="1:1" x14ac:dyDescent="0.45">
      <c r="A40"/>
    </row>
    <row r="41" spans="1:1" x14ac:dyDescent="0.45">
      <c r="A41"/>
    </row>
    <row r="42" spans="1:1" x14ac:dyDescent="0.45">
      <c r="A42"/>
    </row>
    <row r="43" spans="1:1" x14ac:dyDescent="0.45">
      <c r="A43"/>
    </row>
    <row r="44" spans="1:1" x14ac:dyDescent="0.45">
      <c r="A44"/>
    </row>
    <row r="45" spans="1:1" x14ac:dyDescent="0.45">
      <c r="A45"/>
    </row>
    <row r="46" spans="1:1" x14ac:dyDescent="0.45">
      <c r="A46"/>
    </row>
    <row r="47" spans="1:1" x14ac:dyDescent="0.45">
      <c r="A47"/>
    </row>
    <row r="48" spans="1:1" x14ac:dyDescent="0.45">
      <c r="A48"/>
    </row>
    <row r="49" spans="1:1" x14ac:dyDescent="0.45">
      <c r="A49"/>
    </row>
    <row r="50" spans="1:1" x14ac:dyDescent="0.45">
      <c r="A50"/>
    </row>
    <row r="51" spans="1:1" x14ac:dyDescent="0.45">
      <c r="A51"/>
    </row>
    <row r="52" spans="1:1" x14ac:dyDescent="0.45">
      <c r="A52"/>
    </row>
    <row r="53" spans="1:1" x14ac:dyDescent="0.45">
      <c r="A53"/>
    </row>
    <row r="54" spans="1:1" x14ac:dyDescent="0.45">
      <c r="A54"/>
    </row>
    <row r="55" spans="1:1" x14ac:dyDescent="0.45">
      <c r="A55"/>
    </row>
    <row r="56" spans="1:1" x14ac:dyDescent="0.45">
      <c r="A56"/>
    </row>
    <row r="57" spans="1:1" x14ac:dyDescent="0.45">
      <c r="A57"/>
    </row>
    <row r="58" spans="1:1" x14ac:dyDescent="0.45">
      <c r="A58"/>
    </row>
    <row r="59" spans="1:1" x14ac:dyDescent="0.45">
      <c r="A59"/>
    </row>
    <row r="60" spans="1:1" x14ac:dyDescent="0.45">
      <c r="A60"/>
    </row>
    <row r="61" spans="1:1" x14ac:dyDescent="0.45">
      <c r="A61"/>
    </row>
    <row r="62" spans="1:1" x14ac:dyDescent="0.45">
      <c r="A62"/>
    </row>
    <row r="63" spans="1:1" x14ac:dyDescent="0.45">
      <c r="A63"/>
    </row>
    <row r="64" spans="1:1" x14ac:dyDescent="0.45">
      <c r="A64"/>
    </row>
    <row r="65" spans="1:1" x14ac:dyDescent="0.45">
      <c r="A65"/>
    </row>
    <row r="66" spans="1:1" x14ac:dyDescent="0.45">
      <c r="A66"/>
    </row>
    <row r="67" spans="1:1" x14ac:dyDescent="0.45">
      <c r="A67"/>
    </row>
    <row r="68" spans="1:1" x14ac:dyDescent="0.45">
      <c r="A68"/>
    </row>
    <row r="69" spans="1:1" x14ac:dyDescent="0.45">
      <c r="A69"/>
    </row>
    <row r="70" spans="1:1" x14ac:dyDescent="0.45">
      <c r="A70"/>
    </row>
    <row r="71" spans="1:1" x14ac:dyDescent="0.45">
      <c r="A71"/>
    </row>
    <row r="72" spans="1:1" x14ac:dyDescent="0.45">
      <c r="A72"/>
    </row>
    <row r="73" spans="1:1" x14ac:dyDescent="0.45">
      <c r="A73"/>
    </row>
    <row r="74" spans="1:1" x14ac:dyDescent="0.45">
      <c r="A74"/>
    </row>
    <row r="75" spans="1:1" x14ac:dyDescent="0.45">
      <c r="A75"/>
    </row>
    <row r="76" spans="1:1" x14ac:dyDescent="0.45">
      <c r="A76"/>
    </row>
    <row r="77" spans="1:1" x14ac:dyDescent="0.45">
      <c r="A77"/>
    </row>
    <row r="78" spans="1:1" x14ac:dyDescent="0.45">
      <c r="A78"/>
    </row>
    <row r="79" spans="1:1" x14ac:dyDescent="0.45">
      <c r="A79"/>
    </row>
    <row r="80" spans="1:1" x14ac:dyDescent="0.45">
      <c r="A80"/>
    </row>
    <row r="81" spans="1:1" x14ac:dyDescent="0.45">
      <c r="A81"/>
    </row>
    <row r="82" spans="1:1" x14ac:dyDescent="0.45">
      <c r="A82"/>
    </row>
    <row r="83" spans="1:1" x14ac:dyDescent="0.45">
      <c r="A83"/>
    </row>
    <row r="84" spans="1:1" x14ac:dyDescent="0.45">
      <c r="A84"/>
    </row>
    <row r="85" spans="1:1" x14ac:dyDescent="0.45">
      <c r="A85"/>
    </row>
    <row r="86" spans="1:1" x14ac:dyDescent="0.45">
      <c r="A86"/>
    </row>
    <row r="87" spans="1:1" x14ac:dyDescent="0.45">
      <c r="A87"/>
    </row>
    <row r="88" spans="1:1" x14ac:dyDescent="0.45">
      <c r="A88"/>
    </row>
    <row r="89" spans="1:1" x14ac:dyDescent="0.45">
      <c r="A89"/>
    </row>
    <row r="90" spans="1:1" x14ac:dyDescent="0.45">
      <c r="A90"/>
    </row>
    <row r="91" spans="1:1" x14ac:dyDescent="0.45">
      <c r="A91"/>
    </row>
    <row r="92" spans="1:1" x14ac:dyDescent="0.45">
      <c r="A92"/>
    </row>
    <row r="93" spans="1:1" x14ac:dyDescent="0.45">
      <c r="A93"/>
    </row>
    <row r="94" spans="1:1" x14ac:dyDescent="0.45">
      <c r="A94"/>
    </row>
    <row r="95" spans="1:1" x14ac:dyDescent="0.45">
      <c r="A95"/>
    </row>
    <row r="96" spans="1:1" x14ac:dyDescent="0.45">
      <c r="A96"/>
    </row>
    <row r="97" spans="1:1" x14ac:dyDescent="0.45">
      <c r="A97"/>
    </row>
    <row r="98" spans="1:1" x14ac:dyDescent="0.45">
      <c r="A98"/>
    </row>
    <row r="99" spans="1:1" x14ac:dyDescent="0.45">
      <c r="A99"/>
    </row>
    <row r="100" spans="1:1" x14ac:dyDescent="0.45">
      <c r="A100"/>
    </row>
    <row r="101" spans="1:1" x14ac:dyDescent="0.45">
      <c r="A101"/>
    </row>
    <row r="102" spans="1:1" x14ac:dyDescent="0.45">
      <c r="A102"/>
    </row>
    <row r="103" spans="1:1" x14ac:dyDescent="0.45">
      <c r="A103"/>
    </row>
    <row r="104" spans="1:1" x14ac:dyDescent="0.45">
      <c r="A104"/>
    </row>
    <row r="105" spans="1:1" x14ac:dyDescent="0.45">
      <c r="A105"/>
    </row>
    <row r="106" spans="1:1" x14ac:dyDescent="0.45">
      <c r="A106"/>
    </row>
    <row r="107" spans="1:1" x14ac:dyDescent="0.45">
      <c r="A107"/>
    </row>
    <row r="108" spans="1:1" x14ac:dyDescent="0.45">
      <c r="A108"/>
    </row>
    <row r="109" spans="1:1" x14ac:dyDescent="0.45">
      <c r="A109"/>
    </row>
    <row r="110" spans="1:1" x14ac:dyDescent="0.45">
      <c r="A110"/>
    </row>
    <row r="111" spans="1:1" x14ac:dyDescent="0.45">
      <c r="A111"/>
    </row>
    <row r="112" spans="1:1" x14ac:dyDescent="0.45">
      <c r="A112"/>
    </row>
    <row r="113" spans="1:1" x14ac:dyDescent="0.45">
      <c r="A113"/>
    </row>
    <row r="114" spans="1:1" x14ac:dyDescent="0.45">
      <c r="A114"/>
    </row>
    <row r="115" spans="1:1" x14ac:dyDescent="0.45">
      <c r="A115"/>
    </row>
    <row r="116" spans="1:1" x14ac:dyDescent="0.45">
      <c r="A116"/>
    </row>
    <row r="117" spans="1:1" x14ac:dyDescent="0.45">
      <c r="A117"/>
    </row>
    <row r="118" spans="1:1" x14ac:dyDescent="0.45">
      <c r="A118"/>
    </row>
    <row r="119" spans="1:1" x14ac:dyDescent="0.45">
      <c r="A119"/>
    </row>
    <row r="120" spans="1:1" x14ac:dyDescent="0.45">
      <c r="A120"/>
    </row>
    <row r="121" spans="1:1" x14ac:dyDescent="0.45">
      <c r="A121"/>
    </row>
    <row r="122" spans="1:1" x14ac:dyDescent="0.45">
      <c r="A122"/>
    </row>
    <row r="123" spans="1:1" x14ac:dyDescent="0.45">
      <c r="A123"/>
    </row>
    <row r="124" spans="1:1" x14ac:dyDescent="0.45">
      <c r="A124"/>
    </row>
    <row r="125" spans="1:1" x14ac:dyDescent="0.45">
      <c r="A125"/>
    </row>
    <row r="126" spans="1:1" x14ac:dyDescent="0.45">
      <c r="A126"/>
    </row>
    <row r="127" spans="1:1" x14ac:dyDescent="0.45">
      <c r="A127"/>
    </row>
    <row r="128" spans="1:1" x14ac:dyDescent="0.45">
      <c r="A128"/>
    </row>
    <row r="129" spans="1:1" x14ac:dyDescent="0.45">
      <c r="A129"/>
    </row>
    <row r="130" spans="1:1" x14ac:dyDescent="0.45">
      <c r="A130"/>
    </row>
    <row r="131" spans="1:1" x14ac:dyDescent="0.45">
      <c r="A131"/>
    </row>
    <row r="132" spans="1:1" x14ac:dyDescent="0.45">
      <c r="A132"/>
    </row>
    <row r="133" spans="1:1" x14ac:dyDescent="0.45">
      <c r="A133"/>
    </row>
    <row r="134" spans="1:1" x14ac:dyDescent="0.45">
      <c r="A134"/>
    </row>
    <row r="135" spans="1:1" x14ac:dyDescent="0.45">
      <c r="A135"/>
    </row>
    <row r="136" spans="1:1" x14ac:dyDescent="0.45">
      <c r="A136"/>
    </row>
    <row r="137" spans="1:1" x14ac:dyDescent="0.45">
      <c r="A137"/>
    </row>
    <row r="138" spans="1:1" x14ac:dyDescent="0.45">
      <c r="A138"/>
    </row>
    <row r="139" spans="1:1" x14ac:dyDescent="0.45">
      <c r="A139"/>
    </row>
    <row r="140" spans="1:1" x14ac:dyDescent="0.45">
      <c r="A140"/>
    </row>
    <row r="141" spans="1:1" x14ac:dyDescent="0.45">
      <c r="A141"/>
    </row>
    <row r="142" spans="1:1" x14ac:dyDescent="0.45">
      <c r="A142"/>
    </row>
    <row r="143" spans="1:1" x14ac:dyDescent="0.45">
      <c r="A143"/>
    </row>
    <row r="144" spans="1:1" x14ac:dyDescent="0.45">
      <c r="A144"/>
    </row>
    <row r="145" spans="1:1" x14ac:dyDescent="0.45">
      <c r="A145"/>
    </row>
    <row r="146" spans="1:1" x14ac:dyDescent="0.45">
      <c r="A146"/>
    </row>
    <row r="147" spans="1:1" x14ac:dyDescent="0.45">
      <c r="A147"/>
    </row>
    <row r="148" spans="1:1" x14ac:dyDescent="0.45">
      <c r="A148"/>
    </row>
    <row r="149" spans="1:1" x14ac:dyDescent="0.45">
      <c r="A149"/>
    </row>
    <row r="150" spans="1:1" x14ac:dyDescent="0.45">
      <c r="A150"/>
    </row>
    <row r="151" spans="1:1" x14ac:dyDescent="0.45">
      <c r="A151"/>
    </row>
    <row r="152" spans="1:1" x14ac:dyDescent="0.45">
      <c r="A152"/>
    </row>
    <row r="153" spans="1:1" x14ac:dyDescent="0.45">
      <c r="A153"/>
    </row>
    <row r="154" spans="1:1" x14ac:dyDescent="0.45">
      <c r="A154"/>
    </row>
    <row r="155" spans="1:1" x14ac:dyDescent="0.45">
      <c r="A155"/>
    </row>
    <row r="156" spans="1:1" x14ac:dyDescent="0.45">
      <c r="A156"/>
    </row>
    <row r="157" spans="1:1" x14ac:dyDescent="0.45">
      <c r="A157"/>
    </row>
    <row r="158" spans="1:1" x14ac:dyDescent="0.45">
      <c r="A158"/>
    </row>
    <row r="159" spans="1:1" x14ac:dyDescent="0.45">
      <c r="A159"/>
    </row>
    <row r="160" spans="1:1" x14ac:dyDescent="0.45">
      <c r="A160"/>
    </row>
    <row r="161" spans="1:1" x14ac:dyDescent="0.45">
      <c r="A161"/>
    </row>
    <row r="162" spans="1:1" x14ac:dyDescent="0.45">
      <c r="A162"/>
    </row>
    <row r="163" spans="1:1" x14ac:dyDescent="0.45">
      <c r="A163"/>
    </row>
    <row r="164" spans="1:1" x14ac:dyDescent="0.45">
      <c r="A164"/>
    </row>
    <row r="165" spans="1:1" x14ac:dyDescent="0.45">
      <c r="A165"/>
    </row>
    <row r="166" spans="1:1" x14ac:dyDescent="0.45">
      <c r="A166"/>
    </row>
    <row r="167" spans="1:1" x14ac:dyDescent="0.45">
      <c r="A167"/>
    </row>
    <row r="168" spans="1:1" x14ac:dyDescent="0.45">
      <c r="A168"/>
    </row>
    <row r="169" spans="1:1" x14ac:dyDescent="0.45">
      <c r="A169"/>
    </row>
    <row r="170" spans="1:1" x14ac:dyDescent="0.45">
      <c r="A170"/>
    </row>
    <row r="171" spans="1:1" x14ac:dyDescent="0.45">
      <c r="A171"/>
    </row>
    <row r="172" spans="1:1" x14ac:dyDescent="0.45">
      <c r="A172"/>
    </row>
    <row r="173" spans="1:1" x14ac:dyDescent="0.45">
      <c r="A173"/>
    </row>
    <row r="174" spans="1:1" x14ac:dyDescent="0.45">
      <c r="A174"/>
    </row>
    <row r="175" spans="1:1" x14ac:dyDescent="0.45">
      <c r="A175"/>
    </row>
    <row r="176" spans="1:1" x14ac:dyDescent="0.45">
      <c r="A176"/>
    </row>
    <row r="177" spans="1:1" x14ac:dyDescent="0.45">
      <c r="A177"/>
    </row>
    <row r="178" spans="1:1" x14ac:dyDescent="0.45">
      <c r="A178"/>
    </row>
    <row r="179" spans="1:1" x14ac:dyDescent="0.45">
      <c r="A179"/>
    </row>
    <row r="180" spans="1:1" x14ac:dyDescent="0.45">
      <c r="A180"/>
    </row>
    <row r="181" spans="1:1" x14ac:dyDescent="0.45">
      <c r="A181"/>
    </row>
    <row r="182" spans="1:1" x14ac:dyDescent="0.45">
      <c r="A182"/>
    </row>
    <row r="183" spans="1:1" x14ac:dyDescent="0.45">
      <c r="A183"/>
    </row>
    <row r="184" spans="1:1" x14ac:dyDescent="0.45">
      <c r="A184"/>
    </row>
    <row r="185" spans="1:1" x14ac:dyDescent="0.45">
      <c r="A185"/>
    </row>
    <row r="186" spans="1:1" x14ac:dyDescent="0.45">
      <c r="A186"/>
    </row>
    <row r="187" spans="1:1" x14ac:dyDescent="0.45">
      <c r="A187"/>
    </row>
    <row r="188" spans="1:1" x14ac:dyDescent="0.45">
      <c r="A188"/>
    </row>
    <row r="189" spans="1:1" x14ac:dyDescent="0.45">
      <c r="A189"/>
    </row>
    <row r="190" spans="1:1" x14ac:dyDescent="0.45">
      <c r="A190"/>
    </row>
    <row r="191" spans="1:1" x14ac:dyDescent="0.45">
      <c r="A191"/>
    </row>
    <row r="192" spans="1:1" x14ac:dyDescent="0.45">
      <c r="A192"/>
    </row>
    <row r="193" spans="1:1" x14ac:dyDescent="0.45">
      <c r="A193"/>
    </row>
    <row r="194" spans="1:1" x14ac:dyDescent="0.45">
      <c r="A194"/>
    </row>
    <row r="195" spans="1:1" x14ac:dyDescent="0.45">
      <c r="A195"/>
    </row>
    <row r="196" spans="1:1" x14ac:dyDescent="0.45">
      <c r="A196"/>
    </row>
    <row r="197" spans="1:1" x14ac:dyDescent="0.45">
      <c r="A197"/>
    </row>
    <row r="198" spans="1:1" x14ac:dyDescent="0.45">
      <c r="A198"/>
    </row>
    <row r="199" spans="1:1" x14ac:dyDescent="0.45">
      <c r="A199"/>
    </row>
    <row r="200" spans="1:1" x14ac:dyDescent="0.45">
      <c r="A200"/>
    </row>
    <row r="201" spans="1:1" x14ac:dyDescent="0.45">
      <c r="A201"/>
    </row>
    <row r="202" spans="1:1" x14ac:dyDescent="0.45">
      <c r="A202"/>
    </row>
    <row r="203" spans="1:1" x14ac:dyDescent="0.45">
      <c r="A203"/>
    </row>
    <row r="204" spans="1:1" x14ac:dyDescent="0.45">
      <c r="A204"/>
    </row>
    <row r="205" spans="1:1" x14ac:dyDescent="0.45">
      <c r="A205"/>
    </row>
    <row r="206" spans="1:1" x14ac:dyDescent="0.45">
      <c r="A206"/>
    </row>
    <row r="207" spans="1:1" x14ac:dyDescent="0.45">
      <c r="A207"/>
    </row>
    <row r="208" spans="1:1" x14ac:dyDescent="0.45">
      <c r="A208"/>
    </row>
    <row r="209" spans="1:1" x14ac:dyDescent="0.45">
      <c r="A209"/>
    </row>
    <row r="210" spans="1:1" x14ac:dyDescent="0.45">
      <c r="A210"/>
    </row>
    <row r="211" spans="1:1" x14ac:dyDescent="0.45">
      <c r="A211"/>
    </row>
    <row r="212" spans="1:1" x14ac:dyDescent="0.45">
      <c r="A212"/>
    </row>
    <row r="213" spans="1:1" x14ac:dyDescent="0.45">
      <c r="A213"/>
    </row>
  </sheetData>
  <sheetProtection sheet="1" objects="1" scenarios="1"/>
  <phoneticPr fontId="3"/>
  <conditionalFormatting sqref="A14:R213">
    <cfRule type="expression" dxfId="17" priority="1">
      <formula>AND(   NOT(ISBLANK($E1)),   NOT(ISBLANK($N1)),   $N1 &lt;= TODAY(),   $I1 &lt;&gt; "Done" )</formula>
    </cfRule>
    <cfRule type="expression" dxfId="16" priority="2">
      <formula>AND(   NOT(ISBLANK($E1)),   NOT(ISBLANK($N1)),   $N1 &lt; TODAY()+2,   $I1 &lt;&gt; "Done" )</formula>
    </cfRule>
  </conditionalFormatting>
  <dataValidations disablePrompts="1" count="1">
    <dataValidation type="list" allowBlank="1" showInputMessage="1" showErrorMessage="1" sqref="B3" xr:uid="{176574EA-1D7E-4C9F-8103-827EE1EC348D}">
      <formula1>lstSheetRole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UpdateTaskUrgent">
                <anchor moveWithCells="1" sizeWithCells="1">
                  <from>
                    <xdr:col>2</xdr:col>
                    <xdr:colOff>22860</xdr:colOff>
                    <xdr:row>7</xdr:row>
                    <xdr:rowOff>213360</xdr:rowOff>
                  </from>
                  <to>
                    <xdr:col>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3"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CED15-21F5-4014-A9CD-74613209C28E}">
  <sheetPr codeName="Sheet18"/>
  <dimension ref="A1:F10"/>
  <sheetViews>
    <sheetView workbookViewId="0">
      <selection activeCell="H10" sqref="H10"/>
    </sheetView>
  </sheetViews>
  <sheetFormatPr defaultRowHeight="18" x14ac:dyDescent="0.45"/>
  <cols>
    <col min="1" max="1" width="8" bestFit="1" customWidth="1"/>
    <col min="2" max="2" width="12.09765625" customWidth="1"/>
    <col min="3" max="3" width="15.09765625" customWidth="1"/>
    <col min="4" max="4" width="29.59765625" bestFit="1" customWidth="1"/>
    <col min="5" max="5" width="31.69921875" bestFit="1" customWidth="1"/>
    <col min="6" max="6" width="10.59765625" customWidth="1"/>
  </cols>
  <sheetData>
    <row r="1" spans="1:6" x14ac:dyDescent="0.45">
      <c r="A1" t="s">
        <v>402</v>
      </c>
      <c r="B1" t="s">
        <v>434</v>
      </c>
      <c r="C1" t="s">
        <v>435</v>
      </c>
      <c r="D1" t="s">
        <v>405</v>
      </c>
      <c r="E1" t="s">
        <v>436</v>
      </c>
      <c r="F1" t="s">
        <v>437</v>
      </c>
    </row>
    <row r="2" spans="1:6" x14ac:dyDescent="0.45">
      <c r="A2" t="s">
        <v>408</v>
      </c>
      <c r="B2">
        <v>10</v>
      </c>
      <c r="C2" t="s">
        <v>408</v>
      </c>
      <c r="D2" t="s">
        <v>409</v>
      </c>
      <c r="E2" t="s">
        <v>410</v>
      </c>
      <c r="F2" t="b">
        <v>1</v>
      </c>
    </row>
    <row r="3" spans="1:6" x14ac:dyDescent="0.45">
      <c r="A3" t="s">
        <v>411</v>
      </c>
      <c r="B3">
        <v>20</v>
      </c>
      <c r="C3" t="s">
        <v>411</v>
      </c>
      <c r="D3" t="s">
        <v>412</v>
      </c>
      <c r="E3" t="s">
        <v>413</v>
      </c>
      <c r="F3" t="b">
        <v>1</v>
      </c>
    </row>
    <row r="4" spans="1:6" x14ac:dyDescent="0.45">
      <c r="A4" t="s">
        <v>414</v>
      </c>
      <c r="B4">
        <v>30</v>
      </c>
      <c r="C4" t="s">
        <v>414</v>
      </c>
      <c r="D4" t="s">
        <v>415</v>
      </c>
      <c r="E4" t="s">
        <v>416</v>
      </c>
      <c r="F4" t="b">
        <v>1</v>
      </c>
    </row>
    <row r="5" spans="1:6" x14ac:dyDescent="0.45">
      <c r="A5" t="s">
        <v>417</v>
      </c>
      <c r="B5">
        <v>40</v>
      </c>
      <c r="C5" t="s">
        <v>417</v>
      </c>
      <c r="D5" t="s">
        <v>418</v>
      </c>
      <c r="E5" t="s">
        <v>419</v>
      </c>
      <c r="F5" t="b">
        <v>1</v>
      </c>
    </row>
    <row r="6" spans="1:6" x14ac:dyDescent="0.45">
      <c r="A6" t="s">
        <v>420</v>
      </c>
      <c r="B6">
        <v>50</v>
      </c>
      <c r="C6" t="s">
        <v>420</v>
      </c>
      <c r="D6" t="s">
        <v>421</v>
      </c>
      <c r="E6" t="s">
        <v>422</v>
      </c>
      <c r="F6" t="b">
        <v>1</v>
      </c>
    </row>
    <row r="7" spans="1:6" x14ac:dyDescent="0.45">
      <c r="A7" t="s">
        <v>423</v>
      </c>
      <c r="B7">
        <v>60</v>
      </c>
      <c r="C7" t="s">
        <v>423</v>
      </c>
      <c r="D7" t="s">
        <v>424</v>
      </c>
      <c r="E7" t="s">
        <v>425</v>
      </c>
      <c r="F7" t="b">
        <v>1</v>
      </c>
    </row>
    <row r="8" spans="1:6" x14ac:dyDescent="0.45">
      <c r="A8" t="s">
        <v>252</v>
      </c>
      <c r="B8">
        <v>70</v>
      </c>
      <c r="C8" t="s">
        <v>252</v>
      </c>
      <c r="D8" t="s">
        <v>426</v>
      </c>
      <c r="E8" t="s">
        <v>427</v>
      </c>
      <c r="F8" t="b">
        <v>1</v>
      </c>
    </row>
    <row r="9" spans="1:6" x14ac:dyDescent="0.45">
      <c r="A9" t="s">
        <v>428</v>
      </c>
      <c r="B9">
        <v>80</v>
      </c>
      <c r="C9" t="s">
        <v>428</v>
      </c>
      <c r="D9" t="s">
        <v>429</v>
      </c>
      <c r="E9" t="s">
        <v>430</v>
      </c>
      <c r="F9" t="b">
        <v>1</v>
      </c>
    </row>
    <row r="10" spans="1:6" x14ac:dyDescent="0.45">
      <c r="A10" t="s">
        <v>431</v>
      </c>
      <c r="B10">
        <v>90</v>
      </c>
      <c r="C10" t="s">
        <v>431</v>
      </c>
      <c r="D10" t="s">
        <v>432</v>
      </c>
      <c r="E10" t="s">
        <v>433</v>
      </c>
      <c r="F10" t="b">
        <v>1</v>
      </c>
    </row>
  </sheetData>
  <phoneticPr fontId="3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G21"/>
  <sheetViews>
    <sheetView workbookViewId="0">
      <selection activeCell="J17" sqref="J17"/>
    </sheetView>
  </sheetViews>
  <sheetFormatPr defaultRowHeight="18" x14ac:dyDescent="0.45"/>
  <cols>
    <col min="1" max="1" width="17.69921875" style="1" bestFit="1" customWidth="1"/>
    <col min="2" max="2" width="8.8984375" style="1" customWidth="1"/>
    <col min="3" max="3" width="11.69921875" style="1" customWidth="1"/>
    <col min="4" max="4" width="15.19921875" style="1" customWidth="1"/>
    <col min="5" max="5" width="27.19921875" style="1" bestFit="1" customWidth="1"/>
    <col min="6" max="6" width="30" style="1" bestFit="1" customWidth="1"/>
    <col min="7" max="7" width="10.296875" style="1" customWidth="1"/>
  </cols>
  <sheetData>
    <row r="1" spans="1:7" x14ac:dyDescent="0.45">
      <c r="A1" t="s">
        <v>17</v>
      </c>
      <c r="B1" t="s">
        <v>106</v>
      </c>
      <c r="C1" t="s">
        <v>107</v>
      </c>
      <c r="D1" t="s">
        <v>108</v>
      </c>
      <c r="E1" t="s">
        <v>109</v>
      </c>
      <c r="F1" t="s">
        <v>110</v>
      </c>
      <c r="G1" t="s">
        <v>111</v>
      </c>
    </row>
    <row r="2" spans="1:7" x14ac:dyDescent="0.45">
      <c r="A2">
        <v>1</v>
      </c>
      <c r="B2" t="s">
        <v>112</v>
      </c>
      <c r="C2">
        <v>10</v>
      </c>
      <c r="D2" t="s">
        <v>113</v>
      </c>
      <c r="E2" t="s">
        <v>114</v>
      </c>
      <c r="F2" t="s">
        <v>115</v>
      </c>
      <c r="G2" t="b">
        <v>1</v>
      </c>
    </row>
    <row r="3" spans="1:7" x14ac:dyDescent="0.45">
      <c r="A3">
        <v>2</v>
      </c>
      <c r="B3" t="s">
        <v>116</v>
      </c>
      <c r="C3">
        <v>20</v>
      </c>
      <c r="D3" t="s">
        <v>117</v>
      </c>
      <c r="E3" t="s">
        <v>118</v>
      </c>
      <c r="F3" t="s">
        <v>119</v>
      </c>
      <c r="G3" t="b">
        <v>1</v>
      </c>
    </row>
    <row r="4" spans="1:7" x14ac:dyDescent="0.45">
      <c r="A4">
        <v>3</v>
      </c>
      <c r="B4" t="s">
        <v>120</v>
      </c>
      <c r="C4">
        <v>30</v>
      </c>
      <c r="D4" t="s">
        <v>121</v>
      </c>
      <c r="E4" t="s">
        <v>122</v>
      </c>
      <c r="F4" t="s">
        <v>123</v>
      </c>
      <c r="G4" t="b">
        <v>1</v>
      </c>
    </row>
    <row r="5" spans="1:7" x14ac:dyDescent="0.45">
      <c r="A5">
        <v>4</v>
      </c>
      <c r="B5" t="s">
        <v>124</v>
      </c>
      <c r="C5">
        <v>40</v>
      </c>
      <c r="D5" t="s">
        <v>125</v>
      </c>
      <c r="E5" t="s">
        <v>126</v>
      </c>
      <c r="F5" t="s">
        <v>127</v>
      </c>
      <c r="G5" t="b">
        <v>1</v>
      </c>
    </row>
    <row r="6" spans="1:7" x14ac:dyDescent="0.45">
      <c r="A6">
        <v>5</v>
      </c>
    </row>
    <row r="7" spans="1:7" x14ac:dyDescent="0.45">
      <c r="A7">
        <v>6</v>
      </c>
    </row>
    <row r="8" spans="1:7" x14ac:dyDescent="0.45">
      <c r="A8">
        <v>7</v>
      </c>
    </row>
    <row r="9" spans="1:7" x14ac:dyDescent="0.45">
      <c r="A9">
        <v>8</v>
      </c>
    </row>
    <row r="10" spans="1:7" x14ac:dyDescent="0.45">
      <c r="A10">
        <v>9</v>
      </c>
      <c r="C10">
        <v>1</v>
      </c>
    </row>
    <row r="11" spans="1:7" x14ac:dyDescent="0.45">
      <c r="A11">
        <v>10</v>
      </c>
    </row>
    <row r="12" spans="1:7" x14ac:dyDescent="0.45">
      <c r="A12">
        <v>11</v>
      </c>
    </row>
    <row r="13" spans="1:7" x14ac:dyDescent="0.45">
      <c r="A13">
        <v>12</v>
      </c>
    </row>
    <row r="14" spans="1:7" x14ac:dyDescent="0.45">
      <c r="A14">
        <v>13</v>
      </c>
    </row>
    <row r="15" spans="1:7" x14ac:dyDescent="0.45">
      <c r="A15">
        <v>14</v>
      </c>
    </row>
    <row r="16" spans="1:7" x14ac:dyDescent="0.45">
      <c r="A16">
        <v>15</v>
      </c>
    </row>
    <row r="17" spans="1:1" x14ac:dyDescent="0.45">
      <c r="A17">
        <v>16</v>
      </c>
    </row>
    <row r="18" spans="1:1" x14ac:dyDescent="0.45">
      <c r="A18">
        <v>17</v>
      </c>
    </row>
    <row r="19" spans="1:1" x14ac:dyDescent="0.45">
      <c r="A19">
        <v>18</v>
      </c>
    </row>
    <row r="20" spans="1:1" x14ac:dyDescent="0.45">
      <c r="A20">
        <v>19</v>
      </c>
    </row>
    <row r="21" spans="1:1" x14ac:dyDescent="0.45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R258"/>
  <sheetViews>
    <sheetView zoomScaleNormal="100" workbookViewId="0">
      <pane xSplit="2" ySplit="3" topLeftCell="J46" activePane="bottomRight" state="frozen"/>
      <selection activeCell="F14" sqref="F14"/>
      <selection pane="topRight" activeCell="F14" sqref="F14"/>
      <selection pane="bottomLeft" activeCell="F14" sqref="F14"/>
      <selection pane="bottomRight" activeCell="M54" sqref="M54"/>
    </sheetView>
  </sheetViews>
  <sheetFormatPr defaultRowHeight="18" x14ac:dyDescent="0.45"/>
  <cols>
    <col min="1" max="1" width="16.5" style="1" customWidth="1"/>
    <col min="2" max="2" width="38.19921875" style="1" bestFit="1" customWidth="1"/>
    <col min="3" max="3" width="21.8984375" style="1" customWidth="1"/>
    <col min="4" max="4" width="26.796875" style="1" customWidth="1"/>
    <col min="5" max="6" width="15.5" style="1" customWidth="1"/>
    <col min="7" max="8" width="12.796875" style="1" customWidth="1"/>
    <col min="9" max="9" width="18" style="1" bestFit="1" customWidth="1"/>
    <col min="10" max="10" width="20.59765625" style="1" bestFit="1" customWidth="1"/>
    <col min="11" max="11" width="16.5" style="1" customWidth="1"/>
    <col min="12" max="12" width="18.5" style="1" customWidth="1"/>
    <col min="13" max="13" width="14.69921875" style="1" bestFit="1" customWidth="1"/>
    <col min="15" max="15" width="11.796875" style="1" customWidth="1"/>
    <col min="16" max="16" width="12.296875" style="1" bestFit="1" customWidth="1"/>
    <col min="17" max="18" width="13.296875" style="1" customWidth="1"/>
  </cols>
  <sheetData>
    <row r="1" spans="1:18" x14ac:dyDescent="0.45">
      <c r="A1" t="s">
        <v>45</v>
      </c>
      <c r="B1" s="2" t="s">
        <v>72</v>
      </c>
      <c r="C1" s="2" t="s">
        <v>73</v>
      </c>
      <c r="Q1"/>
      <c r="R1"/>
    </row>
    <row r="2" spans="1:18" x14ac:dyDescent="0.45">
      <c r="A2" s="6" t="s">
        <v>0</v>
      </c>
      <c r="B2" s="6" t="s">
        <v>1</v>
      </c>
      <c r="Q2"/>
      <c r="R2"/>
    </row>
    <row r="3" spans="1:18" x14ac:dyDescent="0.45">
      <c r="A3" s="6" t="s">
        <v>9</v>
      </c>
      <c r="B3" s="11"/>
      <c r="Q3"/>
      <c r="R3"/>
    </row>
    <row r="4" spans="1:18" x14ac:dyDescent="0.45">
      <c r="A4" s="6" t="s">
        <v>68</v>
      </c>
      <c r="B4" s="11" t="s">
        <v>128</v>
      </c>
      <c r="Q4"/>
      <c r="R4"/>
    </row>
    <row r="5" spans="1:18" x14ac:dyDescent="0.45">
      <c r="A5" s="6" t="s">
        <v>10</v>
      </c>
      <c r="B5" s="11" t="s">
        <v>129</v>
      </c>
      <c r="Q5"/>
      <c r="R5"/>
    </row>
    <row r="6" spans="1:18" x14ac:dyDescent="0.45">
      <c r="A6" s="6" t="s">
        <v>4</v>
      </c>
      <c r="B6" s="11"/>
      <c r="Q6"/>
      <c r="R6"/>
    </row>
    <row r="7" spans="1:18" x14ac:dyDescent="0.45">
      <c r="A7" s="6" t="s">
        <v>2</v>
      </c>
      <c r="B7" s="11" t="s">
        <v>29</v>
      </c>
      <c r="Q7"/>
      <c r="R7"/>
    </row>
    <row r="8" spans="1:18" x14ac:dyDescent="0.45">
      <c r="A8" s="6" t="s">
        <v>74</v>
      </c>
      <c r="B8" s="11">
        <v>3</v>
      </c>
      <c r="Q8"/>
      <c r="R8"/>
    </row>
    <row r="9" spans="1:18" x14ac:dyDescent="0.45">
      <c r="A9" s="6" t="s">
        <v>75</v>
      </c>
      <c r="B9" s="11">
        <v>3</v>
      </c>
      <c r="Q9"/>
      <c r="R9"/>
    </row>
    <row r="10" spans="1:18" x14ac:dyDescent="0.45">
      <c r="A10" s="6" t="s">
        <v>76</v>
      </c>
      <c r="B10" s="11"/>
      <c r="Q10"/>
      <c r="R10"/>
    </row>
    <row r="11" spans="1:18" x14ac:dyDescent="0.45">
      <c r="A11" s="6" t="s">
        <v>77</v>
      </c>
      <c r="B11" s="29">
        <f>B8*2+B9</f>
        <v>9</v>
      </c>
      <c r="Q11"/>
      <c r="R11"/>
    </row>
    <row r="12" spans="1:18" x14ac:dyDescent="0.45">
      <c r="A12" s="6" t="s">
        <v>11</v>
      </c>
      <c r="B12" s="11"/>
      <c r="Q12"/>
      <c r="R12"/>
    </row>
    <row r="13" spans="1:18" x14ac:dyDescent="0.45">
      <c r="A13" s="6" t="s">
        <v>59</v>
      </c>
      <c r="B13" s="11"/>
      <c r="Q13"/>
      <c r="R13"/>
    </row>
    <row r="14" spans="1:18" x14ac:dyDescent="0.45">
      <c r="A14" s="6" t="s">
        <v>60</v>
      </c>
      <c r="B14" s="11"/>
      <c r="Q14"/>
      <c r="R14"/>
    </row>
    <row r="15" spans="1:18" x14ac:dyDescent="0.45">
      <c r="A15" s="6" t="s">
        <v>78</v>
      </c>
      <c r="B15" s="11"/>
      <c r="Q15"/>
      <c r="R15"/>
    </row>
    <row r="16" spans="1:18" x14ac:dyDescent="0.45">
      <c r="A16" s="6" t="s">
        <v>61</v>
      </c>
      <c r="B16" s="30">
        <f>MAX(TaskListTable[last_update])</f>
        <v>0</v>
      </c>
      <c r="Q16"/>
      <c r="R16"/>
    </row>
    <row r="17" spans="1:18" x14ac:dyDescent="0.45">
      <c r="A17" s="6" t="s">
        <v>79</v>
      </c>
      <c r="B17" s="11" t="s">
        <v>80</v>
      </c>
      <c r="Q17"/>
      <c r="R17"/>
    </row>
    <row r="18" spans="1:18" x14ac:dyDescent="0.45">
      <c r="A18" s="6" t="s">
        <v>4</v>
      </c>
      <c r="B18" s="13" t="s">
        <v>30</v>
      </c>
      <c r="Q18"/>
      <c r="R18"/>
    </row>
    <row r="19" spans="1:18" x14ac:dyDescent="0.45">
      <c r="A19" s="6" t="s">
        <v>62</v>
      </c>
      <c r="B19" s="29" t="str">
        <f>IF(COUNTIF(P59:P258,"YES"),"YES","")</f>
        <v/>
      </c>
      <c r="Q19"/>
      <c r="R19"/>
    </row>
    <row r="20" spans="1:18" x14ac:dyDescent="0.45">
      <c r="Q20"/>
      <c r="R20"/>
    </row>
    <row r="21" spans="1:18" x14ac:dyDescent="0.45">
      <c r="Q21"/>
      <c r="R21"/>
    </row>
    <row r="22" spans="1:18" x14ac:dyDescent="0.45">
      <c r="A22" t="s">
        <v>16</v>
      </c>
      <c r="Q22"/>
      <c r="R22"/>
    </row>
    <row r="23" spans="1:18" x14ac:dyDescent="0.45">
      <c r="A23" t="s">
        <v>17</v>
      </c>
      <c r="B23" t="s">
        <v>18</v>
      </c>
      <c r="C23" t="s">
        <v>81</v>
      </c>
      <c r="D23" t="s">
        <v>82</v>
      </c>
      <c r="Q23"/>
      <c r="R23"/>
    </row>
    <row r="24" spans="1:18" x14ac:dyDescent="0.45">
      <c r="A24">
        <v>1</v>
      </c>
      <c r="B24" t="s">
        <v>83</v>
      </c>
      <c r="C24" t="s">
        <v>84</v>
      </c>
      <c r="D24" t="s">
        <v>85</v>
      </c>
      <c r="Q24"/>
      <c r="R24"/>
    </row>
    <row r="25" spans="1:18" x14ac:dyDescent="0.45">
      <c r="A25">
        <v>2</v>
      </c>
      <c r="B25" t="s">
        <v>86</v>
      </c>
      <c r="C25" t="s">
        <v>87</v>
      </c>
      <c r="Q25"/>
      <c r="R25"/>
    </row>
    <row r="26" spans="1:18" x14ac:dyDescent="0.45">
      <c r="A26">
        <v>3</v>
      </c>
      <c r="Q26"/>
      <c r="R26"/>
    </row>
    <row r="27" spans="1:18" x14ac:dyDescent="0.45">
      <c r="Q27"/>
      <c r="R27"/>
    </row>
    <row r="28" spans="1:18" x14ac:dyDescent="0.45">
      <c r="Q28"/>
      <c r="R28"/>
    </row>
    <row r="29" spans="1:18" x14ac:dyDescent="0.45">
      <c r="A29" t="s">
        <v>88</v>
      </c>
      <c r="Q29"/>
      <c r="R29"/>
    </row>
    <row r="30" spans="1:18" x14ac:dyDescent="0.45">
      <c r="A30" t="s">
        <v>55</v>
      </c>
      <c r="B30" t="s">
        <v>89</v>
      </c>
      <c r="C30" t="s">
        <v>90</v>
      </c>
      <c r="D30" t="s">
        <v>91</v>
      </c>
      <c r="Q30"/>
      <c r="R30"/>
    </row>
    <row r="31" spans="1:18" x14ac:dyDescent="0.45">
      <c r="A31" t="s">
        <v>92</v>
      </c>
      <c r="B31">
        <f>COUNTIF(TaskListTable[Kanban_Status],StatusRatioTable[[#This Row],[Kanban_Status]])</f>
        <v>0</v>
      </c>
      <c r="C31" s="10">
        <f>SUMIF(
  TaskListTable[Kanban_Status],
  StatusRatioTable[[#This Row],[Kanban_Status]],
  TaskListTable[story_point]
)</f>
        <v>0</v>
      </c>
      <c r="D31" s="5" t="str">
        <f>IFERROR(C31/$C$38,"")</f>
        <v/>
      </c>
      <c r="Q31"/>
      <c r="R31"/>
    </row>
    <row r="32" spans="1:18" x14ac:dyDescent="0.45">
      <c r="A32" t="s">
        <v>93</v>
      </c>
      <c r="B32">
        <f>COUNTIF(TaskListTable[Kanban_Status],StatusRatioTable[[#This Row],[Kanban_Status]])</f>
        <v>0</v>
      </c>
      <c r="C32" s="10">
        <f>SUMIF(
  TaskListTable[Kanban_Status],
  StatusRatioTable[[#This Row],[Kanban_Status]],
  TaskListTable[story_point]
)</f>
        <v>0</v>
      </c>
      <c r="D32" s="5" t="str">
        <f t="shared" ref="D32:D37" si="0">IFERROR(C32/$C$38,"")</f>
        <v/>
      </c>
      <c r="Q32"/>
      <c r="R32"/>
    </row>
    <row r="33" spans="1:18" x14ac:dyDescent="0.45">
      <c r="A33" t="s">
        <v>94</v>
      </c>
      <c r="B33">
        <f>COUNTIF(TaskListTable[Kanban_Status],StatusRatioTable[[#This Row],[Kanban_Status]])</f>
        <v>0</v>
      </c>
      <c r="C33" s="10">
        <f>SUMIF(
  TaskListTable[Kanban_Status],
  StatusRatioTable[[#This Row],[Kanban_Status]],
  TaskListTable[story_point]
)</f>
        <v>0</v>
      </c>
      <c r="D33" s="5" t="str">
        <f t="shared" si="0"/>
        <v/>
      </c>
      <c r="Q33"/>
      <c r="R33"/>
    </row>
    <row r="34" spans="1:18" x14ac:dyDescent="0.45">
      <c r="A34" t="s">
        <v>95</v>
      </c>
      <c r="B34">
        <f>COUNTIF(TaskListTable[Kanban_Status],StatusRatioTable[[#This Row],[Kanban_Status]])</f>
        <v>0</v>
      </c>
      <c r="C34" s="10">
        <f>SUMIF(
  TaskListTable[Kanban_Status],
  StatusRatioTable[[#This Row],[Kanban_Status]],
  TaskListTable[story_point]
)</f>
        <v>0</v>
      </c>
      <c r="D34" s="5" t="str">
        <f t="shared" si="0"/>
        <v/>
      </c>
      <c r="Q34"/>
      <c r="R34"/>
    </row>
    <row r="35" spans="1:18" x14ac:dyDescent="0.45">
      <c r="A35" t="s">
        <v>96</v>
      </c>
      <c r="B35">
        <f>COUNTIF(TaskListTable[Kanban_Status],StatusRatioTable[[#This Row],[Kanban_Status]])</f>
        <v>0</v>
      </c>
      <c r="C35" s="10">
        <f>SUMIF(
  TaskListTable[Kanban_Status],
  StatusRatioTable[[#This Row],[Kanban_Status]],
  TaskListTable[story_point]
)</f>
        <v>0</v>
      </c>
      <c r="D35" s="5" t="str">
        <f t="shared" si="0"/>
        <v/>
      </c>
      <c r="Q35"/>
      <c r="R35"/>
    </row>
    <row r="36" spans="1:18" x14ac:dyDescent="0.45">
      <c r="A36" t="s">
        <v>97</v>
      </c>
      <c r="B36">
        <f>COUNTIF(TaskListTable[Kanban_Status],StatusRatioTable[[#This Row],[Kanban_Status]])</f>
        <v>0</v>
      </c>
      <c r="C36" s="10">
        <f>SUMIF(
  TaskListTable[Kanban_Status],
  StatusRatioTable[[#This Row],[Kanban_Status]],
  TaskListTable[story_point]
)</f>
        <v>0</v>
      </c>
      <c r="D36" s="5" t="str">
        <f t="shared" si="0"/>
        <v/>
      </c>
      <c r="Q36"/>
      <c r="R36"/>
    </row>
    <row r="37" spans="1:18" x14ac:dyDescent="0.45">
      <c r="A37" t="s">
        <v>98</v>
      </c>
      <c r="B37">
        <f>COUNTIF(TaskListTable[Kanban_Status],StatusRatioTable[[#This Row],[Kanban_Status]])</f>
        <v>0</v>
      </c>
      <c r="C37" s="10">
        <f>SUMIF(
  TaskListTable[Kanban_Status],
  StatusRatioTable[[#This Row],[Kanban_Status]],
  TaskListTable[story_point]
)</f>
        <v>0</v>
      </c>
      <c r="D37" s="5" t="str">
        <f t="shared" si="0"/>
        <v/>
      </c>
      <c r="Q37"/>
      <c r="R37"/>
    </row>
    <row r="38" spans="1:18" x14ac:dyDescent="0.45">
      <c r="A38" t="s">
        <v>99</v>
      </c>
      <c r="B38">
        <f>COUNTIF(TaskListTable[Kanban_Status],StatusRatioTable[[#This Row],[Kanban_Status]])</f>
        <v>0</v>
      </c>
      <c r="C38" s="10">
        <f>SUM(C31:C37)</f>
        <v>0</v>
      </c>
      <c r="D38" s="5">
        <f>SUM(D31:D35)</f>
        <v>0</v>
      </c>
      <c r="Q38"/>
      <c r="R38"/>
    </row>
    <row r="39" spans="1:18" x14ac:dyDescent="0.45">
      <c r="Q39"/>
      <c r="R39"/>
    </row>
    <row r="40" spans="1:18" x14ac:dyDescent="0.45">
      <c r="Q40"/>
      <c r="R40"/>
    </row>
    <row r="41" spans="1:18" x14ac:dyDescent="0.45">
      <c r="Q41"/>
      <c r="R41"/>
    </row>
    <row r="42" spans="1:18" x14ac:dyDescent="0.45">
      <c r="A42" t="s">
        <v>100</v>
      </c>
      <c r="B42" t="s">
        <v>101</v>
      </c>
      <c r="Q42"/>
      <c r="R42"/>
    </row>
    <row r="43" spans="1:18" x14ac:dyDescent="0.45">
      <c r="A43" s="4" t="s">
        <v>17</v>
      </c>
      <c r="B43" s="4" t="s">
        <v>102</v>
      </c>
      <c r="C43" s="4" t="s">
        <v>103</v>
      </c>
      <c r="D43" s="4" t="s">
        <v>4</v>
      </c>
      <c r="E43" s="4" t="s">
        <v>59</v>
      </c>
      <c r="F43" t="s">
        <v>60</v>
      </c>
      <c r="Q43"/>
      <c r="R43"/>
    </row>
    <row r="44" spans="1:18" x14ac:dyDescent="0.45">
      <c r="A44">
        <v>1</v>
      </c>
      <c r="B44" s="8"/>
      <c r="C44" s="8"/>
      <c r="D44" s="8"/>
      <c r="E44" s="8"/>
      <c r="F44" s="8"/>
      <c r="Q44"/>
      <c r="R44"/>
    </row>
    <row r="45" spans="1:18" x14ac:dyDescent="0.45">
      <c r="A45">
        <v>2</v>
      </c>
      <c r="B45" s="8"/>
      <c r="C45" s="8"/>
      <c r="D45" s="8"/>
      <c r="E45" s="8"/>
      <c r="F45" s="8"/>
      <c r="Q45"/>
      <c r="R45"/>
    </row>
    <row r="46" spans="1:18" x14ac:dyDescent="0.45">
      <c r="A46">
        <v>3</v>
      </c>
      <c r="B46" s="8"/>
      <c r="C46" s="8"/>
      <c r="D46" s="8"/>
      <c r="E46" s="8"/>
      <c r="F46" s="8"/>
      <c r="Q46"/>
      <c r="R46"/>
    </row>
    <row r="47" spans="1:18" x14ac:dyDescent="0.45">
      <c r="A47">
        <v>4</v>
      </c>
      <c r="B47" s="8"/>
      <c r="C47" s="8"/>
      <c r="D47" s="8"/>
      <c r="E47" s="8"/>
      <c r="F47" s="8"/>
      <c r="Q47"/>
      <c r="R47"/>
    </row>
    <row r="48" spans="1:18" x14ac:dyDescent="0.45">
      <c r="A48">
        <v>5</v>
      </c>
      <c r="B48" s="8"/>
      <c r="C48" s="8"/>
      <c r="D48" s="8"/>
      <c r="E48" s="8"/>
      <c r="F48" s="8"/>
      <c r="Q48"/>
      <c r="R48"/>
    </row>
    <row r="49" spans="1:18" x14ac:dyDescent="0.45">
      <c r="A49">
        <v>6</v>
      </c>
      <c r="B49" s="8"/>
      <c r="C49" s="8"/>
      <c r="D49" s="8"/>
      <c r="E49" s="8"/>
      <c r="F49" s="8"/>
      <c r="Q49"/>
      <c r="R49"/>
    </row>
    <row r="50" spans="1:18" x14ac:dyDescent="0.45">
      <c r="A50">
        <v>7</v>
      </c>
      <c r="B50" s="8"/>
      <c r="C50" s="8"/>
      <c r="D50" s="8"/>
      <c r="E50" s="8"/>
      <c r="F50" s="8"/>
      <c r="Q50"/>
      <c r="R50"/>
    </row>
    <row r="51" spans="1:18" x14ac:dyDescent="0.45">
      <c r="A51">
        <v>8</v>
      </c>
      <c r="B51" s="8"/>
      <c r="C51" s="8"/>
      <c r="D51" s="8"/>
      <c r="E51" s="8"/>
      <c r="F51" s="8"/>
      <c r="Q51"/>
      <c r="R51"/>
    </row>
    <row r="52" spans="1:18" x14ac:dyDescent="0.45">
      <c r="A52">
        <v>9</v>
      </c>
      <c r="B52" s="8"/>
      <c r="C52" s="8"/>
      <c r="D52" s="8"/>
      <c r="E52" s="8"/>
      <c r="F52" s="8"/>
      <c r="Q52"/>
      <c r="R52"/>
    </row>
    <row r="53" spans="1:18" x14ac:dyDescent="0.45">
      <c r="A53">
        <v>10</v>
      </c>
      <c r="B53" s="8"/>
      <c r="C53" s="8"/>
      <c r="D53" s="8"/>
      <c r="E53" s="8"/>
      <c r="F53" s="8"/>
      <c r="Q53"/>
      <c r="R53"/>
    </row>
    <row r="54" spans="1:18" x14ac:dyDescent="0.45">
      <c r="Q54"/>
      <c r="R54"/>
    </row>
    <row r="55" spans="1:18" x14ac:dyDescent="0.45">
      <c r="L55" s="3"/>
      <c r="Q55"/>
      <c r="R55"/>
    </row>
    <row r="56" spans="1:18" x14ac:dyDescent="0.45">
      <c r="Q56"/>
      <c r="R56"/>
    </row>
    <row r="57" spans="1:18" x14ac:dyDescent="0.45">
      <c r="A57" t="s">
        <v>104</v>
      </c>
      <c r="Q57"/>
      <c r="R57"/>
    </row>
    <row r="58" spans="1:18" x14ac:dyDescent="0.45">
      <c r="A58" t="s">
        <v>17</v>
      </c>
      <c r="B58" t="s">
        <v>52</v>
      </c>
      <c r="C58" t="s">
        <v>53</v>
      </c>
      <c r="D58" t="s">
        <v>4</v>
      </c>
      <c r="E58" t="s">
        <v>11</v>
      </c>
      <c r="F58" t="s">
        <v>54</v>
      </c>
      <c r="G58" t="s">
        <v>59</v>
      </c>
      <c r="H58" t="s">
        <v>60</v>
      </c>
      <c r="I58" t="s">
        <v>55</v>
      </c>
      <c r="J58" t="s">
        <v>56</v>
      </c>
      <c r="K58" t="s">
        <v>57</v>
      </c>
      <c r="L58" t="s">
        <v>58</v>
      </c>
      <c r="M58" t="s">
        <v>61</v>
      </c>
      <c r="N58" t="s">
        <v>63</v>
      </c>
      <c r="O58" t="s">
        <v>64</v>
      </c>
      <c r="P58" t="s">
        <v>62</v>
      </c>
      <c r="Q58"/>
      <c r="R58"/>
    </row>
    <row r="59" spans="1:18" x14ac:dyDescent="0.45">
      <c r="A59">
        <v>1</v>
      </c>
      <c r="B59" t="str">
        <f>VLOOKUP("project_id",ProjectHeaderInfoTalbe[],2,FALSE)&amp;"-"&amp;"T"&amp;TEXT(TaskListTable[[#This Row],[no]],"000")</f>
        <v>PJ-CATEGORY-FY-SEQ-T001</v>
      </c>
      <c r="C59" s="8"/>
      <c r="D59" s="8"/>
      <c r="E59" s="8"/>
      <c r="F59" s="8"/>
      <c r="G59" s="9"/>
      <c r="H59" s="9"/>
      <c r="I59" s="8"/>
      <c r="J59" s="8"/>
      <c r="K59" s="8"/>
      <c r="L59" s="8"/>
      <c r="M59" s="9"/>
      <c r="N59" s="8"/>
      <c r="O59" s="9"/>
      <c r="P59" t="str">
        <f>IF(TaskListTable[[#This Row],[last_update]]&gt;VLOOKUP("LAST-MTG-DATE",DEF_Parameter!$A$3:$D$102,4,FALSE),"YES","")</f>
        <v/>
      </c>
      <c r="Q59"/>
      <c r="R59"/>
    </row>
    <row r="60" spans="1:18" x14ac:dyDescent="0.45">
      <c r="A60">
        <f t="shared" ref="A60:A91" si="1">A59+1</f>
        <v>2</v>
      </c>
      <c r="B60" t="str">
        <f>VLOOKUP("project_id",ProjectHeaderInfoTalbe[],2,FALSE)&amp;"-"&amp;"T"&amp;TEXT(TaskListTable[[#This Row],[no]],"000")</f>
        <v>PJ-CATEGORY-FY-SEQ-T002</v>
      </c>
      <c r="C60" s="8"/>
      <c r="D60" s="8"/>
      <c r="E60" s="8"/>
      <c r="F60" s="8"/>
      <c r="G60" s="9"/>
      <c r="H60" s="9"/>
      <c r="I60" s="8"/>
      <c r="J60" s="8"/>
      <c r="K60" s="8"/>
      <c r="L60" s="8"/>
      <c r="M60" s="9"/>
      <c r="N60" s="8"/>
      <c r="O60" s="9"/>
      <c r="P60" t="str">
        <f>IF(TaskListTable[[#This Row],[last_update]]&gt;VLOOKUP("LAST-MTG-DATE",DEF_Parameter!$A$3:$D$102,4,FALSE),"YES","")</f>
        <v/>
      </c>
      <c r="Q60"/>
      <c r="R60"/>
    </row>
    <row r="61" spans="1:18" x14ac:dyDescent="0.45">
      <c r="A61">
        <f t="shared" si="1"/>
        <v>3</v>
      </c>
      <c r="B61" t="str">
        <f>VLOOKUP("project_id",ProjectHeaderInfoTalbe[],2,FALSE)&amp;"-"&amp;"T"&amp;TEXT(TaskListTable[[#This Row],[no]],"000")</f>
        <v>PJ-CATEGORY-FY-SEQ-T003</v>
      </c>
      <c r="C61" s="8"/>
      <c r="D61" s="8"/>
      <c r="E61" s="8"/>
      <c r="F61" s="8"/>
      <c r="G61" s="9"/>
      <c r="H61" s="9"/>
      <c r="I61" s="8"/>
      <c r="J61" s="8"/>
      <c r="K61" s="8"/>
      <c r="L61" s="8"/>
      <c r="M61" s="9"/>
      <c r="N61" s="9"/>
      <c r="O61" s="8"/>
      <c r="P61" t="str">
        <f>IF(TaskListTable[[#This Row],[last_update]]&gt;VLOOKUP("LAST-MTG-DATE",DEF_Parameter!$A$3:$D$102,4,FALSE),"YES","")</f>
        <v/>
      </c>
      <c r="Q61"/>
      <c r="R61"/>
    </row>
    <row r="62" spans="1:18" x14ac:dyDescent="0.45">
      <c r="A62">
        <f t="shared" si="1"/>
        <v>4</v>
      </c>
      <c r="B62" t="str">
        <f>VLOOKUP("project_id",ProjectHeaderInfoTalbe[],2,FALSE)&amp;"-"&amp;"T"&amp;TEXT(TaskListTable[[#This Row],[no]],"000")</f>
        <v>PJ-CATEGORY-FY-SEQ-T004</v>
      </c>
      <c r="C62" s="8"/>
      <c r="D62" s="8"/>
      <c r="E62" s="8"/>
      <c r="F62" s="8"/>
      <c r="G62" s="9"/>
      <c r="H62" s="9"/>
      <c r="I62" s="8"/>
      <c r="J62" s="8"/>
      <c r="K62" s="8"/>
      <c r="L62" s="8"/>
      <c r="M62" s="9"/>
      <c r="N62" s="9"/>
      <c r="O62" s="8"/>
      <c r="P62" t="str">
        <f>IF(TaskListTable[[#This Row],[last_update]]&gt;VLOOKUP("LAST-MTG-DATE",DEF_Parameter!$A$3:$D$102,4,FALSE),"YES","")</f>
        <v/>
      </c>
      <c r="Q62"/>
      <c r="R62"/>
    </row>
    <row r="63" spans="1:18" x14ac:dyDescent="0.45">
      <c r="A63">
        <f t="shared" si="1"/>
        <v>5</v>
      </c>
      <c r="B63" t="str">
        <f>VLOOKUP("project_id",ProjectHeaderInfoTalbe[],2,FALSE)&amp;"-"&amp;"T"&amp;TEXT(TaskListTable[[#This Row],[no]],"000")</f>
        <v>PJ-CATEGORY-FY-SEQ-T005</v>
      </c>
      <c r="C63" s="8"/>
      <c r="D63" s="8"/>
      <c r="E63" s="8"/>
      <c r="F63" s="8"/>
      <c r="G63" s="9"/>
      <c r="H63" s="9"/>
      <c r="I63" s="8"/>
      <c r="J63" s="8"/>
      <c r="K63" s="8"/>
      <c r="L63" s="8"/>
      <c r="M63" s="9"/>
      <c r="N63" s="9"/>
      <c r="O63" s="8"/>
      <c r="P63" t="str">
        <f>IF(TaskListTable[[#This Row],[last_update]]&gt;VLOOKUP("LAST-MTG-DATE",DEF_Parameter!$A$3:$D$102,4,FALSE),"YES","")</f>
        <v/>
      </c>
      <c r="Q63"/>
      <c r="R63"/>
    </row>
    <row r="64" spans="1:18" x14ac:dyDescent="0.45">
      <c r="A64">
        <f t="shared" si="1"/>
        <v>6</v>
      </c>
      <c r="B64" t="str">
        <f>VLOOKUP("project_id",ProjectHeaderInfoTalbe[],2,FALSE)&amp;"-"&amp;"T"&amp;TEXT(TaskListTable[[#This Row],[no]],"000")</f>
        <v>PJ-CATEGORY-FY-SEQ-T006</v>
      </c>
      <c r="C64" s="8"/>
      <c r="D64" s="8"/>
      <c r="E64" s="8"/>
      <c r="F64" s="8"/>
      <c r="G64" s="9"/>
      <c r="H64" s="9"/>
      <c r="I64" s="8"/>
      <c r="J64" s="8"/>
      <c r="K64" s="8"/>
      <c r="L64" s="8"/>
      <c r="M64" s="9"/>
      <c r="N64" s="9"/>
      <c r="O64" s="8"/>
      <c r="P64" t="str">
        <f>IF(TaskListTable[[#This Row],[last_update]]&gt;VLOOKUP("LAST-MTG-DATE",DEF_Parameter!$A$3:$D$102,4,FALSE),"YES","")</f>
        <v/>
      </c>
      <c r="Q64"/>
      <c r="R64"/>
    </row>
    <row r="65" spans="1:18" x14ac:dyDescent="0.45">
      <c r="A65">
        <f t="shared" si="1"/>
        <v>7</v>
      </c>
      <c r="B65" t="str">
        <f>VLOOKUP("project_id",ProjectHeaderInfoTalbe[],2,FALSE)&amp;"-"&amp;"T"&amp;TEXT(TaskListTable[[#This Row],[no]],"000")</f>
        <v>PJ-CATEGORY-FY-SEQ-T007</v>
      </c>
      <c r="C65" s="8"/>
      <c r="D65" s="8"/>
      <c r="E65" s="8"/>
      <c r="F65" s="8"/>
      <c r="G65" s="9"/>
      <c r="H65" s="9"/>
      <c r="I65" s="8"/>
      <c r="J65" s="8"/>
      <c r="K65" s="8"/>
      <c r="L65" s="8"/>
      <c r="M65" s="9"/>
      <c r="N65" s="9"/>
      <c r="O65" s="8"/>
      <c r="P65" t="str">
        <f>IF(TaskListTable[[#This Row],[last_update]]&gt;VLOOKUP("LAST-MTG-DATE",DEF_Parameter!$A$3:$D$102,4,FALSE),"YES","")</f>
        <v/>
      </c>
      <c r="Q65"/>
      <c r="R65"/>
    </row>
    <row r="66" spans="1:18" x14ac:dyDescent="0.45">
      <c r="A66">
        <f t="shared" si="1"/>
        <v>8</v>
      </c>
      <c r="B66" t="str">
        <f>VLOOKUP("project_id",ProjectHeaderInfoTalbe[],2,FALSE)&amp;"-"&amp;"T"&amp;TEXT(TaskListTable[[#This Row],[no]],"000")</f>
        <v>PJ-CATEGORY-FY-SEQ-T008</v>
      </c>
      <c r="C66" s="8"/>
      <c r="D66" s="8"/>
      <c r="E66" s="8"/>
      <c r="F66" s="8"/>
      <c r="G66" s="9"/>
      <c r="H66" s="9"/>
      <c r="I66" s="8"/>
      <c r="J66" s="8"/>
      <c r="K66" s="8"/>
      <c r="L66" s="8"/>
      <c r="M66" s="9"/>
      <c r="N66" s="9"/>
      <c r="O66" s="8"/>
      <c r="P66" t="str">
        <f>IF(TaskListTable[[#This Row],[last_update]]&gt;VLOOKUP("LAST-MTG-DATE",DEF_Parameter!$A$3:$D$102,4,FALSE),"YES","")</f>
        <v/>
      </c>
      <c r="Q66"/>
      <c r="R66"/>
    </row>
    <row r="67" spans="1:18" x14ac:dyDescent="0.45">
      <c r="A67">
        <f t="shared" si="1"/>
        <v>9</v>
      </c>
      <c r="B67" t="str">
        <f>VLOOKUP("project_id",ProjectHeaderInfoTalbe[],2,FALSE)&amp;"-"&amp;"T"&amp;TEXT(TaskListTable[[#This Row],[no]],"000")</f>
        <v>PJ-CATEGORY-FY-SEQ-T009</v>
      </c>
      <c r="C67" s="8"/>
      <c r="D67" s="8"/>
      <c r="E67" s="8"/>
      <c r="F67" s="8"/>
      <c r="G67" s="9"/>
      <c r="H67" s="9"/>
      <c r="I67" s="8"/>
      <c r="J67" s="8"/>
      <c r="K67" s="8"/>
      <c r="L67" s="8"/>
      <c r="M67" s="9"/>
      <c r="N67" s="8"/>
      <c r="O67" s="8"/>
      <c r="P67" t="str">
        <f>IF(TaskListTable[[#This Row],[last_update]]&gt;VLOOKUP("LAST-MTG-DATE",DEF_Parameter!$A$3:$D$102,4,FALSE),"YES","")</f>
        <v/>
      </c>
      <c r="Q67"/>
      <c r="R67"/>
    </row>
    <row r="68" spans="1:18" x14ac:dyDescent="0.45">
      <c r="A68">
        <f t="shared" si="1"/>
        <v>10</v>
      </c>
      <c r="B68" t="str">
        <f>VLOOKUP("project_id",ProjectHeaderInfoTalbe[],2,FALSE)&amp;"-"&amp;"T"&amp;TEXT(TaskListTable[[#This Row],[no]],"000")</f>
        <v>PJ-CATEGORY-FY-SEQ-T010</v>
      </c>
      <c r="C68" s="8"/>
      <c r="D68" s="8"/>
      <c r="E68" s="8"/>
      <c r="F68" s="8"/>
      <c r="G68" s="9"/>
      <c r="H68" s="9"/>
      <c r="I68" s="8"/>
      <c r="J68" s="8"/>
      <c r="K68" s="8"/>
      <c r="L68" s="8"/>
      <c r="M68" s="9"/>
      <c r="N68" s="8"/>
      <c r="O68" s="8"/>
      <c r="P68" t="str">
        <f>IF(TaskListTable[[#This Row],[last_update]]&gt;VLOOKUP("LAST-MTG-DATE",DEF_Parameter!$A$3:$D$102,4,FALSE),"YES","")</f>
        <v/>
      </c>
      <c r="Q68"/>
      <c r="R68"/>
    </row>
    <row r="69" spans="1:18" x14ac:dyDescent="0.45">
      <c r="A69">
        <f t="shared" si="1"/>
        <v>11</v>
      </c>
      <c r="B69" t="str">
        <f>VLOOKUP("project_id",ProjectHeaderInfoTalbe[],2,FALSE)&amp;"-"&amp;"T"&amp;TEXT(TaskListTable[[#This Row],[no]],"000")</f>
        <v>PJ-CATEGORY-FY-SEQ-T011</v>
      </c>
      <c r="C69" s="8"/>
      <c r="D69" s="8"/>
      <c r="E69" s="8"/>
      <c r="F69" s="8"/>
      <c r="G69" s="9"/>
      <c r="H69" s="9"/>
      <c r="I69" s="8"/>
      <c r="J69" s="8"/>
      <c r="K69" s="8"/>
      <c r="L69" s="8"/>
      <c r="M69" s="9"/>
      <c r="N69" s="8"/>
      <c r="O69" s="8"/>
      <c r="P69" t="str">
        <f>IF(TaskListTable[[#This Row],[last_update]]&gt;VLOOKUP("LAST-MTG-DATE",DEF_Parameter!$A$3:$D$102,4,FALSE),"YES","")</f>
        <v/>
      </c>
      <c r="Q69"/>
      <c r="R69"/>
    </row>
    <row r="70" spans="1:18" x14ac:dyDescent="0.45">
      <c r="A70">
        <f t="shared" si="1"/>
        <v>12</v>
      </c>
      <c r="B70" t="str">
        <f>VLOOKUP("project_id",ProjectHeaderInfoTalbe[],2,FALSE)&amp;"-"&amp;"T"&amp;TEXT(TaskListTable[[#This Row],[no]],"000")</f>
        <v>PJ-CATEGORY-FY-SEQ-T012</v>
      </c>
      <c r="C70" s="8"/>
      <c r="D70" s="8"/>
      <c r="E70" s="8"/>
      <c r="F70" s="8"/>
      <c r="G70" s="9"/>
      <c r="H70" s="9"/>
      <c r="I70" s="8"/>
      <c r="J70" s="8"/>
      <c r="K70" s="8"/>
      <c r="L70" s="8"/>
      <c r="M70" s="9"/>
      <c r="N70" s="8"/>
      <c r="O70" s="8"/>
      <c r="P70" t="str">
        <f>IF(TaskListTable[[#This Row],[last_update]]&gt;VLOOKUP("LAST-MTG-DATE",DEF_Parameter!$A$3:$D$102,4,FALSE),"YES","")</f>
        <v/>
      </c>
      <c r="Q70"/>
      <c r="R70"/>
    </row>
    <row r="71" spans="1:18" x14ac:dyDescent="0.45">
      <c r="A71">
        <f t="shared" si="1"/>
        <v>13</v>
      </c>
      <c r="B71" t="str">
        <f>VLOOKUP("project_id",ProjectHeaderInfoTalbe[],2,FALSE)&amp;"-"&amp;"T"&amp;TEXT(TaskListTable[[#This Row],[no]],"000")</f>
        <v>PJ-CATEGORY-FY-SEQ-T013</v>
      </c>
      <c r="C71" s="8"/>
      <c r="D71" s="8"/>
      <c r="E71" s="8"/>
      <c r="F71" s="8"/>
      <c r="G71" s="9"/>
      <c r="H71" s="9"/>
      <c r="I71" s="8"/>
      <c r="J71" s="8"/>
      <c r="K71" s="8"/>
      <c r="L71" s="8"/>
      <c r="M71" s="9"/>
      <c r="N71" s="8"/>
      <c r="O71" s="8"/>
      <c r="P71" t="str">
        <f>IF(TaskListTable[[#This Row],[last_update]]&gt;VLOOKUP("LAST-MTG-DATE",DEF_Parameter!$A$3:$D$102,4,FALSE),"YES","")</f>
        <v/>
      </c>
      <c r="Q71"/>
      <c r="R71"/>
    </row>
    <row r="72" spans="1:18" x14ac:dyDescent="0.45">
      <c r="A72">
        <f t="shared" si="1"/>
        <v>14</v>
      </c>
      <c r="B72" t="str">
        <f>VLOOKUP("project_id",ProjectHeaderInfoTalbe[],2,FALSE)&amp;"-"&amp;"T"&amp;TEXT(TaskListTable[[#This Row],[no]],"000")</f>
        <v>PJ-CATEGORY-FY-SEQ-T014</v>
      </c>
      <c r="C72" s="8"/>
      <c r="D72" s="8"/>
      <c r="E72" s="8"/>
      <c r="F72" s="8"/>
      <c r="G72" s="9"/>
      <c r="H72" s="9"/>
      <c r="I72" s="8"/>
      <c r="J72" s="8"/>
      <c r="K72" s="8"/>
      <c r="L72" s="8"/>
      <c r="M72" s="9"/>
      <c r="N72" s="8"/>
      <c r="O72" s="8"/>
      <c r="P72" t="str">
        <f>IF(TaskListTable[[#This Row],[last_update]]&gt;VLOOKUP("LAST-MTG-DATE",DEF_Parameter!$A$3:$D$102,4,FALSE),"YES","")</f>
        <v/>
      </c>
      <c r="Q72"/>
      <c r="R72"/>
    </row>
    <row r="73" spans="1:18" x14ac:dyDescent="0.45">
      <c r="A73">
        <f t="shared" si="1"/>
        <v>15</v>
      </c>
      <c r="B73" t="str">
        <f>VLOOKUP("project_id",ProjectHeaderInfoTalbe[],2,FALSE)&amp;"-"&amp;"T"&amp;TEXT(TaskListTable[[#This Row],[no]],"000")</f>
        <v>PJ-CATEGORY-FY-SEQ-T015</v>
      </c>
      <c r="C73" s="8"/>
      <c r="D73" s="8"/>
      <c r="E73" s="8"/>
      <c r="F73" s="8"/>
      <c r="G73" s="9"/>
      <c r="H73" s="9"/>
      <c r="I73" s="8"/>
      <c r="J73" s="8"/>
      <c r="K73" s="8"/>
      <c r="L73" s="8"/>
      <c r="M73" s="9"/>
      <c r="N73" s="8"/>
      <c r="O73" s="8"/>
      <c r="P73" t="str">
        <f>IF(TaskListTable[[#This Row],[last_update]]&gt;VLOOKUP("LAST-MTG-DATE",DEF_Parameter!$A$3:$D$102,4,FALSE),"YES","")</f>
        <v/>
      </c>
      <c r="Q73"/>
      <c r="R73"/>
    </row>
    <row r="74" spans="1:18" x14ac:dyDescent="0.45">
      <c r="A74">
        <f t="shared" si="1"/>
        <v>16</v>
      </c>
      <c r="B74" t="str">
        <f>VLOOKUP("project_id",ProjectHeaderInfoTalbe[],2,FALSE)&amp;"-"&amp;"T"&amp;TEXT(TaskListTable[[#This Row],[no]],"000")</f>
        <v>PJ-CATEGORY-FY-SEQ-T016</v>
      </c>
      <c r="C74" s="8"/>
      <c r="D74" s="8"/>
      <c r="E74" s="8"/>
      <c r="F74" s="8"/>
      <c r="G74" s="9"/>
      <c r="H74" s="9"/>
      <c r="I74" s="8"/>
      <c r="J74" s="8"/>
      <c r="K74" s="8"/>
      <c r="L74" s="8"/>
      <c r="M74" s="9"/>
      <c r="N74" s="8"/>
      <c r="O74" s="8"/>
      <c r="P74" t="str">
        <f>IF(TaskListTable[[#This Row],[last_update]]&gt;VLOOKUP("LAST-MTG-DATE",DEF_Parameter!$A$3:$D$102,4,FALSE),"YES","")</f>
        <v/>
      </c>
      <c r="Q74"/>
      <c r="R74"/>
    </row>
    <row r="75" spans="1:18" x14ac:dyDescent="0.45">
      <c r="A75">
        <f t="shared" si="1"/>
        <v>17</v>
      </c>
      <c r="B75" t="str">
        <f>VLOOKUP("project_id",ProjectHeaderInfoTalbe[],2,FALSE)&amp;"-"&amp;"T"&amp;TEXT(TaskListTable[[#This Row],[no]],"000")</f>
        <v>PJ-CATEGORY-FY-SEQ-T017</v>
      </c>
      <c r="C75" s="8"/>
      <c r="D75" s="8"/>
      <c r="E75" s="8"/>
      <c r="F75" s="8"/>
      <c r="G75" s="9"/>
      <c r="H75" s="9"/>
      <c r="I75" s="8"/>
      <c r="J75" s="8"/>
      <c r="K75" s="8"/>
      <c r="L75" s="8"/>
      <c r="M75" s="9"/>
      <c r="N75" s="8"/>
      <c r="O75" s="8"/>
      <c r="P75" t="str">
        <f>IF(TaskListTable[[#This Row],[last_update]]&gt;VLOOKUP("LAST-MTG-DATE",DEF_Parameter!$A$3:$D$102,4,FALSE),"YES","")</f>
        <v/>
      </c>
      <c r="Q75"/>
      <c r="R75"/>
    </row>
    <row r="76" spans="1:18" x14ac:dyDescent="0.45">
      <c r="A76">
        <f t="shared" si="1"/>
        <v>18</v>
      </c>
      <c r="B76" t="str">
        <f>VLOOKUP("project_id",ProjectHeaderInfoTalbe[],2,FALSE)&amp;"-"&amp;"T"&amp;TEXT(TaskListTable[[#This Row],[no]],"000")</f>
        <v>PJ-CATEGORY-FY-SEQ-T018</v>
      </c>
      <c r="C76" s="8"/>
      <c r="D76" s="8"/>
      <c r="E76" s="8"/>
      <c r="F76" s="8"/>
      <c r="G76" s="9"/>
      <c r="H76" s="9"/>
      <c r="I76" s="8"/>
      <c r="J76" s="8"/>
      <c r="K76" s="8"/>
      <c r="L76" s="8"/>
      <c r="M76" s="9"/>
      <c r="N76" s="8"/>
      <c r="O76" s="8"/>
      <c r="P76" t="str">
        <f>IF(TaskListTable[[#This Row],[last_update]]&gt;VLOOKUP("LAST-MTG-DATE",DEF_Parameter!$A$3:$D$102,4,FALSE),"YES","")</f>
        <v/>
      </c>
      <c r="Q76"/>
      <c r="R76"/>
    </row>
    <row r="77" spans="1:18" x14ac:dyDescent="0.45">
      <c r="A77">
        <f t="shared" si="1"/>
        <v>19</v>
      </c>
      <c r="B77" t="str">
        <f>VLOOKUP("project_id",ProjectHeaderInfoTalbe[],2,FALSE)&amp;"-"&amp;"T"&amp;TEXT(TaskListTable[[#This Row],[no]],"000")</f>
        <v>PJ-CATEGORY-FY-SEQ-T019</v>
      </c>
      <c r="C77" s="8"/>
      <c r="D77" s="8"/>
      <c r="E77" s="8"/>
      <c r="F77" s="8"/>
      <c r="G77" s="9"/>
      <c r="H77" s="9"/>
      <c r="I77" s="8"/>
      <c r="J77" s="8"/>
      <c r="K77" s="8"/>
      <c r="L77" s="8"/>
      <c r="M77" s="9"/>
      <c r="N77" s="8"/>
      <c r="O77" s="8"/>
      <c r="P77" t="str">
        <f>IF(TaskListTable[[#This Row],[last_update]]&gt;VLOOKUP("LAST-MTG-DATE",DEF_Parameter!$A$3:$D$102,4,FALSE),"YES","")</f>
        <v/>
      </c>
      <c r="Q77"/>
      <c r="R77"/>
    </row>
    <row r="78" spans="1:18" x14ac:dyDescent="0.45">
      <c r="A78">
        <f t="shared" si="1"/>
        <v>20</v>
      </c>
      <c r="B78" t="str">
        <f>VLOOKUP("project_id",ProjectHeaderInfoTalbe[],2,FALSE)&amp;"-"&amp;"T"&amp;TEXT(TaskListTable[[#This Row],[no]],"000")</f>
        <v>PJ-CATEGORY-FY-SEQ-T020</v>
      </c>
      <c r="C78" s="8"/>
      <c r="D78" s="8"/>
      <c r="E78" s="8"/>
      <c r="F78" s="8"/>
      <c r="G78" s="9"/>
      <c r="H78" s="9"/>
      <c r="I78" s="8"/>
      <c r="J78" s="8"/>
      <c r="K78" s="8"/>
      <c r="L78" s="8"/>
      <c r="M78" s="9"/>
      <c r="N78" s="8"/>
      <c r="O78" s="8"/>
      <c r="P78" t="str">
        <f>IF(TaskListTable[[#This Row],[last_update]]&gt;VLOOKUP("LAST-MTG-DATE",DEF_Parameter!$A$3:$D$102,4,FALSE),"YES","")</f>
        <v/>
      </c>
      <c r="Q78"/>
      <c r="R78"/>
    </row>
    <row r="79" spans="1:18" x14ac:dyDescent="0.45">
      <c r="A79">
        <f t="shared" si="1"/>
        <v>21</v>
      </c>
      <c r="B79" t="str">
        <f>VLOOKUP("project_id",ProjectHeaderInfoTalbe[],2,FALSE)&amp;"-"&amp;"T"&amp;TEXT(TaskListTable[[#This Row],[no]],"000")</f>
        <v>PJ-CATEGORY-FY-SEQ-T021</v>
      </c>
      <c r="C79" s="8"/>
      <c r="D79" s="8"/>
      <c r="E79" s="8"/>
      <c r="F79" s="8"/>
      <c r="G79" s="9"/>
      <c r="H79" s="9"/>
      <c r="I79" s="8"/>
      <c r="J79" s="8"/>
      <c r="K79" s="8"/>
      <c r="L79" s="8"/>
      <c r="M79" s="9"/>
      <c r="N79" s="8"/>
      <c r="O79" s="8"/>
      <c r="P79" t="str">
        <f>IF(TaskListTable[[#This Row],[last_update]]&gt;VLOOKUP("LAST-MTG-DATE",DEF_Parameter!$A$3:$D$102,4,FALSE),"YES","")</f>
        <v/>
      </c>
      <c r="Q79"/>
      <c r="R79"/>
    </row>
    <row r="80" spans="1:18" x14ac:dyDescent="0.45">
      <c r="A80">
        <f t="shared" si="1"/>
        <v>22</v>
      </c>
      <c r="B80" t="str">
        <f>VLOOKUP("project_id",ProjectHeaderInfoTalbe[],2,FALSE)&amp;"-"&amp;"T"&amp;TEXT(TaskListTable[[#This Row],[no]],"000")</f>
        <v>PJ-CATEGORY-FY-SEQ-T022</v>
      </c>
      <c r="C80" s="8"/>
      <c r="D80" s="8"/>
      <c r="E80" s="8"/>
      <c r="F80" s="8"/>
      <c r="G80" s="9"/>
      <c r="H80" s="9"/>
      <c r="I80" s="8"/>
      <c r="J80" s="8"/>
      <c r="K80" s="8"/>
      <c r="L80" s="8"/>
      <c r="M80" s="9"/>
      <c r="N80" s="8"/>
      <c r="O80" s="8"/>
      <c r="P80" t="str">
        <f>IF(TaskListTable[[#This Row],[last_update]]&gt;VLOOKUP("LAST-MTG-DATE",DEF_Parameter!$A$3:$D$102,4,FALSE),"YES","")</f>
        <v/>
      </c>
      <c r="Q80"/>
      <c r="R80"/>
    </row>
    <row r="81" spans="1:18" x14ac:dyDescent="0.45">
      <c r="A81">
        <f t="shared" si="1"/>
        <v>23</v>
      </c>
      <c r="B81" t="str">
        <f>VLOOKUP("project_id",ProjectHeaderInfoTalbe[],2,FALSE)&amp;"-"&amp;"T"&amp;TEXT(TaskListTable[[#This Row],[no]],"000")</f>
        <v>PJ-CATEGORY-FY-SEQ-T023</v>
      </c>
      <c r="C81" s="8"/>
      <c r="D81" s="8"/>
      <c r="E81" s="8"/>
      <c r="F81" s="8"/>
      <c r="G81" s="9"/>
      <c r="H81" s="9"/>
      <c r="I81" s="8"/>
      <c r="J81" s="8"/>
      <c r="K81" s="8"/>
      <c r="L81" s="8"/>
      <c r="M81" s="9"/>
      <c r="N81" s="8"/>
      <c r="O81" s="8"/>
      <c r="P81" t="str">
        <f>IF(TaskListTable[[#This Row],[last_update]]&gt;VLOOKUP("LAST-MTG-DATE",DEF_Parameter!$A$3:$D$102,4,FALSE),"YES","")</f>
        <v/>
      </c>
      <c r="Q81"/>
      <c r="R81"/>
    </row>
    <row r="82" spans="1:18" x14ac:dyDescent="0.45">
      <c r="A82">
        <f t="shared" si="1"/>
        <v>24</v>
      </c>
      <c r="B82" t="str">
        <f>VLOOKUP("project_id",ProjectHeaderInfoTalbe[],2,FALSE)&amp;"-"&amp;"T"&amp;TEXT(TaskListTable[[#This Row],[no]],"000")</f>
        <v>PJ-CATEGORY-FY-SEQ-T024</v>
      </c>
      <c r="C82" s="8"/>
      <c r="D82" s="8"/>
      <c r="E82" s="8"/>
      <c r="F82" s="8"/>
      <c r="G82" s="9"/>
      <c r="H82" s="9"/>
      <c r="I82" s="8"/>
      <c r="J82" s="8"/>
      <c r="K82" s="8"/>
      <c r="L82" s="8"/>
      <c r="M82" s="9"/>
      <c r="N82" s="8"/>
      <c r="O82" s="8"/>
      <c r="P82" t="str">
        <f>IF(TaskListTable[[#This Row],[last_update]]&gt;VLOOKUP("LAST-MTG-DATE",DEF_Parameter!$A$3:$D$102,4,FALSE),"YES","")</f>
        <v/>
      </c>
      <c r="Q82"/>
      <c r="R82"/>
    </row>
    <row r="83" spans="1:18" x14ac:dyDescent="0.45">
      <c r="A83">
        <f t="shared" si="1"/>
        <v>25</v>
      </c>
      <c r="B83" t="str">
        <f>VLOOKUP("project_id",ProjectHeaderInfoTalbe[],2,FALSE)&amp;"-"&amp;"T"&amp;TEXT(TaskListTable[[#This Row],[no]],"000")</f>
        <v>PJ-CATEGORY-FY-SEQ-T025</v>
      </c>
      <c r="C83" s="8"/>
      <c r="D83" s="8"/>
      <c r="E83" s="8"/>
      <c r="F83" s="8"/>
      <c r="G83" s="9"/>
      <c r="H83" s="9"/>
      <c r="I83" s="8"/>
      <c r="J83" s="8"/>
      <c r="K83" s="8"/>
      <c r="L83" s="8"/>
      <c r="M83" s="9"/>
      <c r="N83" s="8"/>
      <c r="O83" s="8"/>
      <c r="P83" t="str">
        <f>IF(TaskListTable[[#This Row],[last_update]]&gt;VLOOKUP("LAST-MTG-DATE",DEF_Parameter!$A$3:$D$102,4,FALSE),"YES","")</f>
        <v/>
      </c>
      <c r="Q83"/>
      <c r="R83"/>
    </row>
    <row r="84" spans="1:18" x14ac:dyDescent="0.45">
      <c r="A84">
        <f t="shared" si="1"/>
        <v>26</v>
      </c>
      <c r="B84" t="str">
        <f>VLOOKUP("project_id",ProjectHeaderInfoTalbe[],2,FALSE)&amp;"-"&amp;"T"&amp;TEXT(TaskListTable[[#This Row],[no]],"000")</f>
        <v>PJ-CATEGORY-FY-SEQ-T026</v>
      </c>
      <c r="C84" s="8"/>
      <c r="D84" s="8"/>
      <c r="E84" s="8"/>
      <c r="F84" s="8"/>
      <c r="G84" s="9"/>
      <c r="H84" s="9"/>
      <c r="I84" s="8"/>
      <c r="J84" s="8"/>
      <c r="K84" s="8"/>
      <c r="L84" s="8"/>
      <c r="M84" s="9"/>
      <c r="N84" s="8"/>
      <c r="O84" s="8"/>
      <c r="P84" t="str">
        <f>IF(TaskListTable[[#This Row],[last_update]]&gt;VLOOKUP("LAST-MTG-DATE",DEF_Parameter!$A$3:$D$102,4,FALSE),"YES","")</f>
        <v/>
      </c>
      <c r="Q84"/>
      <c r="R84"/>
    </row>
    <row r="85" spans="1:18" x14ac:dyDescent="0.45">
      <c r="A85">
        <f t="shared" si="1"/>
        <v>27</v>
      </c>
      <c r="B85" t="str">
        <f>VLOOKUP("project_id",ProjectHeaderInfoTalbe[],2,FALSE)&amp;"-"&amp;"T"&amp;TEXT(TaskListTable[[#This Row],[no]],"000")</f>
        <v>PJ-CATEGORY-FY-SEQ-T027</v>
      </c>
      <c r="C85" s="8"/>
      <c r="D85" s="8"/>
      <c r="E85" s="8"/>
      <c r="F85" s="8"/>
      <c r="G85" s="9"/>
      <c r="H85" s="9"/>
      <c r="I85" s="8"/>
      <c r="J85" s="8"/>
      <c r="K85" s="8"/>
      <c r="L85" s="8"/>
      <c r="M85" s="9"/>
      <c r="N85" s="8"/>
      <c r="O85" s="8"/>
      <c r="P85" t="str">
        <f>IF(TaskListTable[[#This Row],[last_update]]&gt;VLOOKUP("LAST-MTG-DATE",DEF_Parameter!$A$3:$D$102,4,FALSE),"YES","")</f>
        <v/>
      </c>
      <c r="Q85"/>
      <c r="R85"/>
    </row>
    <row r="86" spans="1:18" x14ac:dyDescent="0.45">
      <c r="A86">
        <f t="shared" si="1"/>
        <v>28</v>
      </c>
      <c r="B86" t="str">
        <f>VLOOKUP("project_id",ProjectHeaderInfoTalbe[],2,FALSE)&amp;"-"&amp;"T"&amp;TEXT(TaskListTable[[#This Row],[no]],"000")</f>
        <v>PJ-CATEGORY-FY-SEQ-T028</v>
      </c>
      <c r="C86" s="8"/>
      <c r="D86" s="8"/>
      <c r="E86" s="8"/>
      <c r="F86" s="8"/>
      <c r="G86" s="9"/>
      <c r="H86" s="9"/>
      <c r="I86" s="8"/>
      <c r="J86" s="8"/>
      <c r="K86" s="8"/>
      <c r="L86" s="8"/>
      <c r="M86" s="9"/>
      <c r="N86" s="8"/>
      <c r="O86" s="8"/>
      <c r="P86" t="str">
        <f>IF(TaskListTable[[#This Row],[last_update]]&gt;VLOOKUP("LAST-MTG-DATE",DEF_Parameter!$A$3:$D$102,4,FALSE),"YES","")</f>
        <v/>
      </c>
      <c r="Q86"/>
      <c r="R86"/>
    </row>
    <row r="87" spans="1:18" x14ac:dyDescent="0.45">
      <c r="A87">
        <f t="shared" si="1"/>
        <v>29</v>
      </c>
      <c r="B87" t="str">
        <f>VLOOKUP("project_id",ProjectHeaderInfoTalbe[],2,FALSE)&amp;"-"&amp;"T"&amp;TEXT(TaskListTable[[#This Row],[no]],"000")</f>
        <v>PJ-CATEGORY-FY-SEQ-T029</v>
      </c>
      <c r="C87" s="8"/>
      <c r="D87" s="8"/>
      <c r="E87" s="8"/>
      <c r="F87" s="8"/>
      <c r="G87" s="9"/>
      <c r="H87" s="9"/>
      <c r="I87" s="8"/>
      <c r="J87" s="8"/>
      <c r="K87" s="8"/>
      <c r="L87" s="8"/>
      <c r="M87" s="9"/>
      <c r="N87" s="8"/>
      <c r="O87" s="8"/>
      <c r="P87" t="str">
        <f>IF(TaskListTable[[#This Row],[last_update]]&gt;VLOOKUP("LAST-MTG-DATE",DEF_Parameter!$A$3:$D$102,4,FALSE),"YES","")</f>
        <v/>
      </c>
      <c r="Q87"/>
      <c r="R87"/>
    </row>
    <row r="88" spans="1:18" x14ac:dyDescent="0.45">
      <c r="A88">
        <f t="shared" si="1"/>
        <v>30</v>
      </c>
      <c r="B88" t="str">
        <f>VLOOKUP("project_id",ProjectHeaderInfoTalbe[],2,FALSE)&amp;"-"&amp;"T"&amp;TEXT(TaskListTable[[#This Row],[no]],"000")</f>
        <v>PJ-CATEGORY-FY-SEQ-T030</v>
      </c>
      <c r="C88" s="8"/>
      <c r="D88" s="8"/>
      <c r="E88" s="8"/>
      <c r="F88" s="8"/>
      <c r="G88" s="9"/>
      <c r="H88" s="9"/>
      <c r="I88" s="8"/>
      <c r="J88" s="8"/>
      <c r="K88" s="8"/>
      <c r="L88" s="8"/>
      <c r="M88" s="9"/>
      <c r="N88" s="8"/>
      <c r="O88" s="8"/>
      <c r="P88" t="str">
        <f>IF(TaskListTable[[#This Row],[last_update]]&gt;VLOOKUP("LAST-MTG-DATE",DEF_Parameter!$A$3:$D$102,4,FALSE),"YES","")</f>
        <v/>
      </c>
      <c r="Q88"/>
      <c r="R88"/>
    </row>
    <row r="89" spans="1:18" x14ac:dyDescent="0.45">
      <c r="A89">
        <f t="shared" si="1"/>
        <v>31</v>
      </c>
      <c r="B89" t="str">
        <f>VLOOKUP("project_id",ProjectHeaderInfoTalbe[],2,FALSE)&amp;"-"&amp;"T"&amp;TEXT(TaskListTable[[#This Row],[no]],"000")</f>
        <v>PJ-CATEGORY-FY-SEQ-T031</v>
      </c>
      <c r="C89" s="8"/>
      <c r="D89" s="8"/>
      <c r="E89" s="8"/>
      <c r="F89" s="8"/>
      <c r="G89" s="9"/>
      <c r="H89" s="9"/>
      <c r="I89" s="8"/>
      <c r="J89" s="8"/>
      <c r="K89" s="8"/>
      <c r="L89" s="8"/>
      <c r="M89" s="9"/>
      <c r="N89" s="8"/>
      <c r="O89" s="8"/>
      <c r="P89" t="str">
        <f>IF(TaskListTable[[#This Row],[last_update]]&gt;VLOOKUP("LAST-MTG-DATE",DEF_Parameter!$A$3:$D$102,4,FALSE),"YES","")</f>
        <v/>
      </c>
      <c r="Q89"/>
      <c r="R89"/>
    </row>
    <row r="90" spans="1:18" x14ac:dyDescent="0.45">
      <c r="A90">
        <f t="shared" si="1"/>
        <v>32</v>
      </c>
      <c r="B90" t="str">
        <f>VLOOKUP("project_id",ProjectHeaderInfoTalbe[],2,FALSE)&amp;"-"&amp;"T"&amp;TEXT(TaskListTable[[#This Row],[no]],"000")</f>
        <v>PJ-CATEGORY-FY-SEQ-T032</v>
      </c>
      <c r="C90" s="8"/>
      <c r="D90" s="8"/>
      <c r="E90" s="8"/>
      <c r="F90" s="8"/>
      <c r="G90" s="9"/>
      <c r="H90" s="9"/>
      <c r="I90" s="8"/>
      <c r="J90" s="8"/>
      <c r="K90" s="8"/>
      <c r="L90" s="8"/>
      <c r="M90" s="9"/>
      <c r="N90" s="8"/>
      <c r="O90" s="8"/>
      <c r="P90" t="str">
        <f>IF(TaskListTable[[#This Row],[last_update]]&gt;VLOOKUP("LAST-MTG-DATE",DEF_Parameter!$A$3:$D$102,4,FALSE),"YES","")</f>
        <v/>
      </c>
      <c r="Q90"/>
      <c r="R90"/>
    </row>
    <row r="91" spans="1:18" x14ac:dyDescent="0.45">
      <c r="A91">
        <f t="shared" si="1"/>
        <v>33</v>
      </c>
      <c r="B91" t="str">
        <f>VLOOKUP("project_id",ProjectHeaderInfoTalbe[],2,FALSE)&amp;"-"&amp;"T"&amp;TEXT(TaskListTable[[#This Row],[no]],"000")</f>
        <v>PJ-CATEGORY-FY-SEQ-T033</v>
      </c>
      <c r="C91" s="8"/>
      <c r="D91" s="8"/>
      <c r="E91" s="8"/>
      <c r="F91" s="8"/>
      <c r="G91" s="9"/>
      <c r="H91" s="9"/>
      <c r="I91" s="8"/>
      <c r="J91" s="8"/>
      <c r="K91" s="8"/>
      <c r="L91" s="8"/>
      <c r="M91" s="9"/>
      <c r="N91" s="8"/>
      <c r="O91" s="8"/>
      <c r="P91" t="str">
        <f>IF(TaskListTable[[#This Row],[last_update]]&gt;VLOOKUP("LAST-MTG-DATE",DEF_Parameter!$A$3:$D$102,4,FALSE),"YES","")</f>
        <v/>
      </c>
      <c r="Q91"/>
      <c r="R91"/>
    </row>
    <row r="92" spans="1:18" x14ac:dyDescent="0.45">
      <c r="A92">
        <f t="shared" ref="A92:A123" si="2">A91+1</f>
        <v>34</v>
      </c>
      <c r="B92" t="str">
        <f>VLOOKUP("project_id",ProjectHeaderInfoTalbe[],2,FALSE)&amp;"-"&amp;"T"&amp;TEXT(TaskListTable[[#This Row],[no]],"000")</f>
        <v>PJ-CATEGORY-FY-SEQ-T034</v>
      </c>
      <c r="C92" s="8"/>
      <c r="D92" s="8"/>
      <c r="E92" s="8"/>
      <c r="F92" s="8"/>
      <c r="G92" s="9"/>
      <c r="H92" s="9"/>
      <c r="I92" s="8"/>
      <c r="J92" s="8"/>
      <c r="K92" s="8"/>
      <c r="L92" s="8"/>
      <c r="M92" s="9"/>
      <c r="N92" s="8"/>
      <c r="O92" s="8"/>
      <c r="P92" t="str">
        <f>IF(TaskListTable[[#This Row],[last_update]]&gt;VLOOKUP("LAST-MTG-DATE",DEF_Parameter!$A$3:$D$102,4,FALSE),"YES","")</f>
        <v/>
      </c>
      <c r="Q92"/>
      <c r="R92"/>
    </row>
    <row r="93" spans="1:18" x14ac:dyDescent="0.45">
      <c r="A93">
        <f t="shared" si="2"/>
        <v>35</v>
      </c>
      <c r="B93" t="str">
        <f>VLOOKUP("project_id",ProjectHeaderInfoTalbe[],2,FALSE)&amp;"-"&amp;"T"&amp;TEXT(TaskListTable[[#This Row],[no]],"000")</f>
        <v>PJ-CATEGORY-FY-SEQ-T035</v>
      </c>
      <c r="C93" s="8"/>
      <c r="D93" s="8"/>
      <c r="E93" s="8"/>
      <c r="F93" s="8"/>
      <c r="G93" s="9"/>
      <c r="H93" s="9"/>
      <c r="I93" s="8"/>
      <c r="J93" s="8"/>
      <c r="K93" s="8"/>
      <c r="L93" s="8"/>
      <c r="M93" s="9"/>
      <c r="N93" s="8"/>
      <c r="O93" s="8"/>
      <c r="P93" t="str">
        <f>IF(TaskListTable[[#This Row],[last_update]]&gt;VLOOKUP("LAST-MTG-DATE",DEF_Parameter!$A$3:$D$102,4,FALSE),"YES","")</f>
        <v/>
      </c>
      <c r="Q93"/>
      <c r="R93"/>
    </row>
    <row r="94" spans="1:18" x14ac:dyDescent="0.45">
      <c r="A94">
        <f t="shared" si="2"/>
        <v>36</v>
      </c>
      <c r="B94" t="str">
        <f>VLOOKUP("project_id",ProjectHeaderInfoTalbe[],2,FALSE)&amp;"-"&amp;"T"&amp;TEXT(TaskListTable[[#This Row],[no]],"000")</f>
        <v>PJ-CATEGORY-FY-SEQ-T036</v>
      </c>
      <c r="C94" s="8"/>
      <c r="D94" s="8"/>
      <c r="E94" s="8"/>
      <c r="F94" s="8"/>
      <c r="G94" s="9"/>
      <c r="H94" s="9"/>
      <c r="I94" s="8"/>
      <c r="J94" s="8"/>
      <c r="K94" s="8"/>
      <c r="L94" s="8"/>
      <c r="M94" s="9"/>
      <c r="N94" s="8"/>
      <c r="O94" s="8"/>
      <c r="P94" t="str">
        <f>IF(TaskListTable[[#This Row],[last_update]]&gt;VLOOKUP("LAST-MTG-DATE",DEF_Parameter!$A$3:$D$102,4,FALSE),"YES","")</f>
        <v/>
      </c>
      <c r="Q94"/>
      <c r="R94"/>
    </row>
    <row r="95" spans="1:18" x14ac:dyDescent="0.45">
      <c r="A95">
        <f t="shared" si="2"/>
        <v>37</v>
      </c>
      <c r="B95" t="str">
        <f>VLOOKUP("project_id",ProjectHeaderInfoTalbe[],2,FALSE)&amp;"-"&amp;"T"&amp;TEXT(TaskListTable[[#This Row],[no]],"000")</f>
        <v>PJ-CATEGORY-FY-SEQ-T037</v>
      </c>
      <c r="C95" s="8"/>
      <c r="D95" s="8"/>
      <c r="E95" s="8"/>
      <c r="F95" s="8"/>
      <c r="G95" s="9"/>
      <c r="H95" s="9"/>
      <c r="I95" s="8"/>
      <c r="J95" s="8"/>
      <c r="K95" s="8"/>
      <c r="L95" s="8"/>
      <c r="M95" s="9"/>
      <c r="N95" s="8"/>
      <c r="O95" s="8"/>
      <c r="P95" t="str">
        <f>IF(TaskListTable[[#This Row],[last_update]]&gt;VLOOKUP("LAST-MTG-DATE",DEF_Parameter!$A$3:$D$102,4,FALSE),"YES","")</f>
        <v/>
      </c>
      <c r="Q95"/>
      <c r="R95"/>
    </row>
    <row r="96" spans="1:18" x14ac:dyDescent="0.45">
      <c r="A96">
        <f t="shared" si="2"/>
        <v>38</v>
      </c>
      <c r="B96" t="str">
        <f>VLOOKUP("project_id",ProjectHeaderInfoTalbe[],2,FALSE)&amp;"-"&amp;"T"&amp;TEXT(TaskListTable[[#This Row],[no]],"000")</f>
        <v>PJ-CATEGORY-FY-SEQ-T038</v>
      </c>
      <c r="C96" s="8"/>
      <c r="D96" s="8"/>
      <c r="E96" s="8"/>
      <c r="F96" s="8"/>
      <c r="G96" s="9"/>
      <c r="H96" s="9"/>
      <c r="I96" s="8"/>
      <c r="J96" s="8"/>
      <c r="K96" s="8"/>
      <c r="L96" s="8"/>
      <c r="M96" s="9"/>
      <c r="N96" s="8"/>
      <c r="O96" s="8"/>
      <c r="P96" t="str">
        <f>IF(TaskListTable[[#This Row],[last_update]]&gt;VLOOKUP("LAST-MTG-DATE",DEF_Parameter!$A$3:$D$102,4,FALSE),"YES","")</f>
        <v/>
      </c>
      <c r="Q96"/>
      <c r="R96"/>
    </row>
    <row r="97" spans="1:18" x14ac:dyDescent="0.45">
      <c r="A97">
        <f t="shared" si="2"/>
        <v>39</v>
      </c>
      <c r="B97" t="str">
        <f>VLOOKUP("project_id",ProjectHeaderInfoTalbe[],2,FALSE)&amp;"-"&amp;"T"&amp;TEXT(TaskListTable[[#This Row],[no]],"000")</f>
        <v>PJ-CATEGORY-FY-SEQ-T039</v>
      </c>
      <c r="C97" s="8"/>
      <c r="D97" s="8"/>
      <c r="E97" s="8"/>
      <c r="F97" s="8"/>
      <c r="G97" s="9"/>
      <c r="H97" s="9"/>
      <c r="I97" s="8"/>
      <c r="J97" s="8"/>
      <c r="K97" s="8"/>
      <c r="L97" s="8"/>
      <c r="M97" s="9"/>
      <c r="N97" s="8"/>
      <c r="O97" s="8"/>
      <c r="P97" t="str">
        <f>IF(TaskListTable[[#This Row],[last_update]]&gt;VLOOKUP("LAST-MTG-DATE",DEF_Parameter!$A$3:$D$102,4,FALSE),"YES","")</f>
        <v/>
      </c>
      <c r="Q97"/>
      <c r="R97"/>
    </row>
    <row r="98" spans="1:18" x14ac:dyDescent="0.45">
      <c r="A98">
        <f t="shared" si="2"/>
        <v>40</v>
      </c>
      <c r="B98" t="str">
        <f>VLOOKUP("project_id",ProjectHeaderInfoTalbe[],2,FALSE)&amp;"-"&amp;"T"&amp;TEXT(TaskListTable[[#This Row],[no]],"000")</f>
        <v>PJ-CATEGORY-FY-SEQ-T040</v>
      </c>
      <c r="C98" s="8"/>
      <c r="D98" s="8"/>
      <c r="E98" s="8"/>
      <c r="F98" s="8"/>
      <c r="G98" s="9"/>
      <c r="H98" s="9"/>
      <c r="I98" s="8"/>
      <c r="J98" s="8"/>
      <c r="K98" s="8"/>
      <c r="L98" s="8"/>
      <c r="M98" s="9"/>
      <c r="N98" s="8"/>
      <c r="O98" s="8"/>
      <c r="P98" t="str">
        <f>IF(TaskListTable[[#This Row],[last_update]]&gt;VLOOKUP("LAST-MTG-DATE",DEF_Parameter!$A$3:$D$102,4,FALSE),"YES","")</f>
        <v/>
      </c>
      <c r="Q98"/>
      <c r="R98"/>
    </row>
    <row r="99" spans="1:18" x14ac:dyDescent="0.45">
      <c r="A99">
        <f t="shared" si="2"/>
        <v>41</v>
      </c>
      <c r="B99" t="str">
        <f>VLOOKUP("project_id",ProjectHeaderInfoTalbe[],2,FALSE)&amp;"-"&amp;"T"&amp;TEXT(TaskListTable[[#This Row],[no]],"000")</f>
        <v>PJ-CATEGORY-FY-SEQ-T041</v>
      </c>
      <c r="C99" s="8"/>
      <c r="D99" s="8"/>
      <c r="E99" s="8"/>
      <c r="F99" s="8"/>
      <c r="G99" s="9"/>
      <c r="H99" s="9"/>
      <c r="I99" s="8"/>
      <c r="J99" s="8"/>
      <c r="K99" s="8"/>
      <c r="L99" s="8"/>
      <c r="M99" s="9"/>
      <c r="N99" s="8"/>
      <c r="O99" s="8"/>
      <c r="P99" t="str">
        <f>IF(TaskListTable[[#This Row],[last_update]]&gt;VLOOKUP("LAST-MTG-DATE",DEF_Parameter!$A$3:$D$102,4,FALSE),"YES","")</f>
        <v/>
      </c>
      <c r="Q99"/>
      <c r="R99"/>
    </row>
    <row r="100" spans="1:18" x14ac:dyDescent="0.45">
      <c r="A100">
        <f t="shared" si="2"/>
        <v>42</v>
      </c>
      <c r="B100" t="str">
        <f>VLOOKUP("project_id",ProjectHeaderInfoTalbe[],2,FALSE)&amp;"-"&amp;"T"&amp;TEXT(TaskListTable[[#This Row],[no]],"000")</f>
        <v>PJ-CATEGORY-FY-SEQ-T042</v>
      </c>
      <c r="C100" s="8"/>
      <c r="D100" s="8"/>
      <c r="E100" s="8"/>
      <c r="F100" s="8"/>
      <c r="G100" s="9"/>
      <c r="H100" s="9"/>
      <c r="I100" s="8"/>
      <c r="J100" s="8"/>
      <c r="K100" s="8"/>
      <c r="L100" s="8"/>
      <c r="M100" s="9"/>
      <c r="N100" s="8"/>
      <c r="O100" s="8"/>
      <c r="P100" t="str">
        <f>IF(TaskListTable[[#This Row],[last_update]]&gt;VLOOKUP("LAST-MTG-DATE",DEF_Parameter!$A$3:$D$102,4,FALSE),"YES","")</f>
        <v/>
      </c>
      <c r="Q100"/>
      <c r="R100"/>
    </row>
    <row r="101" spans="1:18" x14ac:dyDescent="0.45">
      <c r="A101">
        <f t="shared" si="2"/>
        <v>43</v>
      </c>
      <c r="B101" t="str">
        <f>VLOOKUP("project_id",ProjectHeaderInfoTalbe[],2,FALSE)&amp;"-"&amp;"T"&amp;TEXT(TaskListTable[[#This Row],[no]],"000")</f>
        <v>PJ-CATEGORY-FY-SEQ-T043</v>
      </c>
      <c r="C101" s="8"/>
      <c r="D101" s="8"/>
      <c r="E101" s="8"/>
      <c r="F101" s="8"/>
      <c r="G101" s="9"/>
      <c r="H101" s="9"/>
      <c r="I101" s="8"/>
      <c r="J101" s="8"/>
      <c r="K101" s="8"/>
      <c r="L101" s="8"/>
      <c r="M101" s="9"/>
      <c r="N101" s="8"/>
      <c r="O101" s="8"/>
      <c r="P101" t="str">
        <f>IF(TaskListTable[[#This Row],[last_update]]&gt;VLOOKUP("LAST-MTG-DATE",DEF_Parameter!$A$3:$D$102,4,FALSE),"YES","")</f>
        <v/>
      </c>
      <c r="Q101"/>
      <c r="R101"/>
    </row>
    <row r="102" spans="1:18" x14ac:dyDescent="0.45">
      <c r="A102">
        <f t="shared" si="2"/>
        <v>44</v>
      </c>
      <c r="B102" t="str">
        <f>VLOOKUP("project_id",ProjectHeaderInfoTalbe[],2,FALSE)&amp;"-"&amp;"T"&amp;TEXT(TaskListTable[[#This Row],[no]],"000")</f>
        <v>PJ-CATEGORY-FY-SEQ-T044</v>
      </c>
      <c r="C102" s="8"/>
      <c r="D102" s="8"/>
      <c r="E102" s="8"/>
      <c r="F102" s="8"/>
      <c r="G102" s="9"/>
      <c r="H102" s="9"/>
      <c r="I102" s="8"/>
      <c r="J102" s="8"/>
      <c r="K102" s="8"/>
      <c r="L102" s="8"/>
      <c r="M102" s="9"/>
      <c r="N102" s="8"/>
      <c r="O102" s="8"/>
      <c r="P102" t="str">
        <f>IF(TaskListTable[[#This Row],[last_update]]&gt;VLOOKUP("LAST-MTG-DATE",DEF_Parameter!$A$3:$D$102,4,FALSE),"YES","")</f>
        <v/>
      </c>
      <c r="Q102"/>
      <c r="R102"/>
    </row>
    <row r="103" spans="1:18" x14ac:dyDescent="0.45">
      <c r="A103">
        <f t="shared" si="2"/>
        <v>45</v>
      </c>
      <c r="B103" t="str">
        <f>VLOOKUP("project_id",ProjectHeaderInfoTalbe[],2,FALSE)&amp;"-"&amp;"T"&amp;TEXT(TaskListTable[[#This Row],[no]],"000")</f>
        <v>PJ-CATEGORY-FY-SEQ-T045</v>
      </c>
      <c r="C103" s="8"/>
      <c r="D103" s="8"/>
      <c r="E103" s="8"/>
      <c r="F103" s="8"/>
      <c r="G103" s="9"/>
      <c r="H103" s="9"/>
      <c r="I103" s="8"/>
      <c r="J103" s="8"/>
      <c r="K103" s="8"/>
      <c r="L103" s="8"/>
      <c r="M103" s="9"/>
      <c r="N103" s="8"/>
      <c r="O103" s="8"/>
      <c r="P103" t="str">
        <f>IF(TaskListTable[[#This Row],[last_update]]&gt;VLOOKUP("LAST-MTG-DATE",DEF_Parameter!$A$3:$D$102,4,FALSE),"YES","")</f>
        <v/>
      </c>
      <c r="Q103"/>
      <c r="R103"/>
    </row>
    <row r="104" spans="1:18" x14ac:dyDescent="0.45">
      <c r="A104">
        <f t="shared" si="2"/>
        <v>46</v>
      </c>
      <c r="B104" t="str">
        <f>VLOOKUP("project_id",ProjectHeaderInfoTalbe[],2,FALSE)&amp;"-"&amp;"T"&amp;TEXT(TaskListTable[[#This Row],[no]],"000")</f>
        <v>PJ-CATEGORY-FY-SEQ-T046</v>
      </c>
      <c r="C104" s="8"/>
      <c r="D104" s="8"/>
      <c r="E104" s="8"/>
      <c r="F104" s="8"/>
      <c r="G104" s="9"/>
      <c r="H104" s="9"/>
      <c r="I104" s="8"/>
      <c r="J104" s="8"/>
      <c r="K104" s="8"/>
      <c r="L104" s="8"/>
      <c r="M104" s="9"/>
      <c r="N104" s="8"/>
      <c r="O104" s="8"/>
      <c r="P104" t="str">
        <f>IF(TaskListTable[[#This Row],[last_update]]&gt;VLOOKUP("LAST-MTG-DATE",DEF_Parameter!$A$3:$D$102,4,FALSE),"YES","")</f>
        <v/>
      </c>
      <c r="Q104"/>
      <c r="R104"/>
    </row>
    <row r="105" spans="1:18" x14ac:dyDescent="0.45">
      <c r="A105">
        <f t="shared" si="2"/>
        <v>47</v>
      </c>
      <c r="B105" t="str">
        <f>VLOOKUP("project_id",ProjectHeaderInfoTalbe[],2,FALSE)&amp;"-"&amp;"T"&amp;TEXT(TaskListTable[[#This Row],[no]],"000")</f>
        <v>PJ-CATEGORY-FY-SEQ-T047</v>
      </c>
      <c r="C105" s="8"/>
      <c r="D105" s="8"/>
      <c r="E105" s="8"/>
      <c r="F105" s="8"/>
      <c r="G105" s="9"/>
      <c r="H105" s="9"/>
      <c r="I105" s="8"/>
      <c r="J105" s="8"/>
      <c r="K105" s="8"/>
      <c r="L105" s="8"/>
      <c r="M105" s="9"/>
      <c r="N105" s="8"/>
      <c r="O105" s="8"/>
      <c r="P105" t="str">
        <f>IF(TaskListTable[[#This Row],[last_update]]&gt;VLOOKUP("LAST-MTG-DATE",DEF_Parameter!$A$3:$D$102,4,FALSE),"YES","")</f>
        <v/>
      </c>
      <c r="Q105"/>
      <c r="R105"/>
    </row>
    <row r="106" spans="1:18" x14ac:dyDescent="0.45">
      <c r="A106">
        <f t="shared" si="2"/>
        <v>48</v>
      </c>
      <c r="B106" t="str">
        <f>VLOOKUP("project_id",ProjectHeaderInfoTalbe[],2,FALSE)&amp;"-"&amp;"T"&amp;TEXT(TaskListTable[[#This Row],[no]],"000")</f>
        <v>PJ-CATEGORY-FY-SEQ-T048</v>
      </c>
      <c r="C106" s="8"/>
      <c r="D106" s="8"/>
      <c r="E106" s="8"/>
      <c r="F106" s="8"/>
      <c r="G106" s="9"/>
      <c r="H106" s="9"/>
      <c r="I106" s="8"/>
      <c r="J106" s="8"/>
      <c r="K106" s="8"/>
      <c r="L106" s="8"/>
      <c r="M106" s="9"/>
      <c r="N106" s="8"/>
      <c r="O106" s="8"/>
      <c r="P106" t="str">
        <f>IF(TaskListTable[[#This Row],[last_update]]&gt;VLOOKUP("LAST-MTG-DATE",DEF_Parameter!$A$3:$D$102,4,FALSE),"YES","")</f>
        <v/>
      </c>
      <c r="Q106"/>
      <c r="R106"/>
    </row>
    <row r="107" spans="1:18" x14ac:dyDescent="0.45">
      <c r="A107">
        <f t="shared" si="2"/>
        <v>49</v>
      </c>
      <c r="B107" t="str">
        <f>VLOOKUP("project_id",ProjectHeaderInfoTalbe[],2,FALSE)&amp;"-"&amp;"T"&amp;TEXT(TaskListTable[[#This Row],[no]],"000")</f>
        <v>PJ-CATEGORY-FY-SEQ-T049</v>
      </c>
      <c r="C107" s="8"/>
      <c r="D107" s="8"/>
      <c r="E107" s="8"/>
      <c r="F107" s="8"/>
      <c r="G107" s="9"/>
      <c r="H107" s="9"/>
      <c r="I107" s="8"/>
      <c r="J107" s="8"/>
      <c r="K107" s="8"/>
      <c r="L107" s="8"/>
      <c r="M107" s="9"/>
      <c r="N107" s="8"/>
      <c r="O107" s="8"/>
      <c r="P107" t="str">
        <f>IF(TaskListTable[[#This Row],[last_update]]&gt;VLOOKUP("LAST-MTG-DATE",DEF_Parameter!$A$3:$D$102,4,FALSE),"YES","")</f>
        <v/>
      </c>
      <c r="Q107"/>
      <c r="R107"/>
    </row>
    <row r="108" spans="1:18" x14ac:dyDescent="0.45">
      <c r="A108">
        <f t="shared" si="2"/>
        <v>50</v>
      </c>
      <c r="B108" t="str">
        <f>VLOOKUP("project_id",ProjectHeaderInfoTalbe[],2,FALSE)&amp;"-"&amp;"T"&amp;TEXT(TaskListTable[[#This Row],[no]],"000")</f>
        <v>PJ-CATEGORY-FY-SEQ-T050</v>
      </c>
      <c r="C108" s="8"/>
      <c r="D108" s="8"/>
      <c r="E108" s="8"/>
      <c r="F108" s="8"/>
      <c r="G108" s="9"/>
      <c r="H108" s="9"/>
      <c r="I108" s="8"/>
      <c r="J108" s="8"/>
      <c r="K108" s="8"/>
      <c r="L108" s="8"/>
      <c r="M108" s="9"/>
      <c r="N108" s="8"/>
      <c r="O108" s="8"/>
      <c r="P108" t="str">
        <f>IF(TaskListTable[[#This Row],[last_update]]&gt;VLOOKUP("LAST-MTG-DATE",DEF_Parameter!$A$3:$D$102,4,FALSE),"YES","")</f>
        <v/>
      </c>
      <c r="Q108"/>
      <c r="R108"/>
    </row>
    <row r="109" spans="1:18" x14ac:dyDescent="0.45">
      <c r="A109">
        <f t="shared" si="2"/>
        <v>51</v>
      </c>
      <c r="B109" t="str">
        <f>VLOOKUP("project_id",ProjectHeaderInfoTalbe[],2,FALSE)&amp;"-"&amp;"T"&amp;TEXT(TaskListTable[[#This Row],[no]],"000")</f>
        <v>PJ-CATEGORY-FY-SEQ-T051</v>
      </c>
      <c r="C109" s="8"/>
      <c r="D109" s="8"/>
      <c r="E109" s="8"/>
      <c r="F109" s="8"/>
      <c r="G109" s="9"/>
      <c r="H109" s="9"/>
      <c r="I109" s="8"/>
      <c r="J109" s="8"/>
      <c r="K109" s="8"/>
      <c r="L109" s="8"/>
      <c r="M109" s="9"/>
      <c r="N109" s="8"/>
      <c r="O109" s="8"/>
      <c r="P109" t="str">
        <f>IF(TaskListTable[[#This Row],[last_update]]&gt;VLOOKUP("LAST-MTG-DATE",DEF_Parameter!$A$3:$D$102,4,FALSE),"YES","")</f>
        <v/>
      </c>
      <c r="Q109"/>
      <c r="R109"/>
    </row>
    <row r="110" spans="1:18" x14ac:dyDescent="0.45">
      <c r="A110">
        <f t="shared" si="2"/>
        <v>52</v>
      </c>
      <c r="B110" t="str">
        <f>VLOOKUP("project_id",ProjectHeaderInfoTalbe[],2,FALSE)&amp;"-"&amp;"T"&amp;TEXT(TaskListTable[[#This Row],[no]],"000")</f>
        <v>PJ-CATEGORY-FY-SEQ-T052</v>
      </c>
      <c r="C110" s="8"/>
      <c r="D110" s="8"/>
      <c r="E110" s="8"/>
      <c r="F110" s="8"/>
      <c r="G110" s="9"/>
      <c r="H110" s="9"/>
      <c r="I110" s="8"/>
      <c r="J110" s="8"/>
      <c r="K110" s="8"/>
      <c r="L110" s="8"/>
      <c r="M110" s="9"/>
      <c r="N110" s="8"/>
      <c r="O110" s="8"/>
      <c r="P110" t="str">
        <f>IF(TaskListTable[[#This Row],[last_update]]&gt;VLOOKUP("LAST-MTG-DATE",DEF_Parameter!$A$3:$D$102,4,FALSE),"YES","")</f>
        <v/>
      </c>
      <c r="Q110"/>
      <c r="R110"/>
    </row>
    <row r="111" spans="1:18" x14ac:dyDescent="0.45">
      <c r="A111">
        <f t="shared" si="2"/>
        <v>53</v>
      </c>
      <c r="B111" t="str">
        <f>VLOOKUP("project_id",ProjectHeaderInfoTalbe[],2,FALSE)&amp;"-"&amp;"T"&amp;TEXT(TaskListTable[[#This Row],[no]],"000")</f>
        <v>PJ-CATEGORY-FY-SEQ-T053</v>
      </c>
      <c r="C111" s="8"/>
      <c r="D111" s="8"/>
      <c r="E111" s="8"/>
      <c r="F111" s="8"/>
      <c r="G111" s="9"/>
      <c r="H111" s="9"/>
      <c r="I111" s="8"/>
      <c r="J111" s="8"/>
      <c r="K111" s="8"/>
      <c r="L111" s="8"/>
      <c r="M111" s="9"/>
      <c r="N111" s="8"/>
      <c r="O111" s="8"/>
      <c r="P111" t="str">
        <f>IF(TaskListTable[[#This Row],[last_update]]&gt;VLOOKUP("LAST-MTG-DATE",DEF_Parameter!$A$3:$D$102,4,FALSE),"YES","")</f>
        <v/>
      </c>
      <c r="Q111"/>
      <c r="R111"/>
    </row>
    <row r="112" spans="1:18" x14ac:dyDescent="0.45">
      <c r="A112">
        <f t="shared" si="2"/>
        <v>54</v>
      </c>
      <c r="B112" t="str">
        <f>VLOOKUP("project_id",ProjectHeaderInfoTalbe[],2,FALSE)&amp;"-"&amp;"T"&amp;TEXT(TaskListTable[[#This Row],[no]],"000")</f>
        <v>PJ-CATEGORY-FY-SEQ-T054</v>
      </c>
      <c r="C112" s="8"/>
      <c r="D112" s="8"/>
      <c r="E112" s="8"/>
      <c r="F112" s="8"/>
      <c r="G112" s="9"/>
      <c r="H112" s="9"/>
      <c r="I112" s="8"/>
      <c r="J112" s="8"/>
      <c r="K112" s="8"/>
      <c r="L112" s="8"/>
      <c r="M112" s="9"/>
      <c r="N112" s="8"/>
      <c r="O112" s="8"/>
      <c r="P112" t="str">
        <f>IF(TaskListTable[[#This Row],[last_update]]&gt;VLOOKUP("LAST-MTG-DATE",DEF_Parameter!$A$3:$D$102,4,FALSE),"YES","")</f>
        <v/>
      </c>
      <c r="Q112"/>
      <c r="R112"/>
    </row>
    <row r="113" spans="1:18" x14ac:dyDescent="0.45">
      <c r="A113">
        <f t="shared" si="2"/>
        <v>55</v>
      </c>
      <c r="B113" t="str">
        <f>VLOOKUP("project_id",ProjectHeaderInfoTalbe[],2,FALSE)&amp;"-"&amp;"T"&amp;TEXT(TaskListTable[[#This Row],[no]],"000")</f>
        <v>PJ-CATEGORY-FY-SEQ-T055</v>
      </c>
      <c r="C113" s="8"/>
      <c r="D113" s="8"/>
      <c r="E113" s="8"/>
      <c r="F113" s="8"/>
      <c r="G113" s="9"/>
      <c r="H113" s="9"/>
      <c r="I113" s="8"/>
      <c r="J113" s="8"/>
      <c r="K113" s="8"/>
      <c r="L113" s="8"/>
      <c r="M113" s="9"/>
      <c r="N113" s="8"/>
      <c r="O113" s="8"/>
      <c r="P113" t="str">
        <f>IF(TaskListTable[[#This Row],[last_update]]&gt;VLOOKUP("LAST-MTG-DATE",DEF_Parameter!$A$3:$D$102,4,FALSE),"YES","")</f>
        <v/>
      </c>
      <c r="Q113"/>
      <c r="R113"/>
    </row>
    <row r="114" spans="1:18" x14ac:dyDescent="0.45">
      <c r="A114">
        <f t="shared" si="2"/>
        <v>56</v>
      </c>
      <c r="B114" t="str">
        <f>VLOOKUP("project_id",ProjectHeaderInfoTalbe[],2,FALSE)&amp;"-"&amp;"T"&amp;TEXT(TaskListTable[[#This Row],[no]],"000")</f>
        <v>PJ-CATEGORY-FY-SEQ-T056</v>
      </c>
      <c r="C114" s="8"/>
      <c r="D114" s="8"/>
      <c r="E114" s="8"/>
      <c r="F114" s="8"/>
      <c r="G114" s="9"/>
      <c r="H114" s="9"/>
      <c r="I114" s="8"/>
      <c r="J114" s="8"/>
      <c r="K114" s="8"/>
      <c r="L114" s="8"/>
      <c r="M114" s="9"/>
      <c r="N114" s="8"/>
      <c r="O114" s="8"/>
      <c r="P114" t="str">
        <f>IF(TaskListTable[[#This Row],[last_update]]&gt;VLOOKUP("LAST-MTG-DATE",DEF_Parameter!$A$3:$D$102,4,FALSE),"YES","")</f>
        <v/>
      </c>
      <c r="Q114"/>
      <c r="R114"/>
    </row>
    <row r="115" spans="1:18" x14ac:dyDescent="0.45">
      <c r="A115">
        <f t="shared" si="2"/>
        <v>57</v>
      </c>
      <c r="B115" t="str">
        <f>VLOOKUP("project_id",ProjectHeaderInfoTalbe[],2,FALSE)&amp;"-"&amp;"T"&amp;TEXT(TaskListTable[[#This Row],[no]],"000")</f>
        <v>PJ-CATEGORY-FY-SEQ-T057</v>
      </c>
      <c r="C115" s="8"/>
      <c r="D115" s="8"/>
      <c r="E115" s="8"/>
      <c r="F115" s="8"/>
      <c r="G115" s="9"/>
      <c r="H115" s="9"/>
      <c r="I115" s="8"/>
      <c r="J115" s="8"/>
      <c r="K115" s="8"/>
      <c r="L115" s="8"/>
      <c r="M115" s="9"/>
      <c r="N115" s="8"/>
      <c r="O115" s="8"/>
      <c r="P115" t="str">
        <f>IF(TaskListTable[[#This Row],[last_update]]&gt;VLOOKUP("LAST-MTG-DATE",DEF_Parameter!$A$3:$D$102,4,FALSE),"YES","")</f>
        <v/>
      </c>
      <c r="Q115"/>
      <c r="R115"/>
    </row>
    <row r="116" spans="1:18" x14ac:dyDescent="0.45">
      <c r="A116">
        <f t="shared" si="2"/>
        <v>58</v>
      </c>
      <c r="B116" t="str">
        <f>VLOOKUP("project_id",ProjectHeaderInfoTalbe[],2,FALSE)&amp;"-"&amp;"T"&amp;TEXT(TaskListTable[[#This Row],[no]],"000")</f>
        <v>PJ-CATEGORY-FY-SEQ-T058</v>
      </c>
      <c r="C116" s="8"/>
      <c r="D116" s="8"/>
      <c r="E116" s="8"/>
      <c r="F116" s="8"/>
      <c r="G116" s="9"/>
      <c r="H116" s="9"/>
      <c r="I116" s="8"/>
      <c r="J116" s="8"/>
      <c r="K116" s="8"/>
      <c r="L116" s="8"/>
      <c r="M116" s="9"/>
      <c r="N116" s="8"/>
      <c r="O116" s="8"/>
      <c r="P116" t="str">
        <f>IF(TaskListTable[[#This Row],[last_update]]&gt;VLOOKUP("LAST-MTG-DATE",DEF_Parameter!$A$3:$D$102,4,FALSE),"YES","")</f>
        <v/>
      </c>
      <c r="Q116"/>
      <c r="R116"/>
    </row>
    <row r="117" spans="1:18" x14ac:dyDescent="0.45">
      <c r="A117">
        <f t="shared" si="2"/>
        <v>59</v>
      </c>
      <c r="B117" t="str">
        <f>VLOOKUP("project_id",ProjectHeaderInfoTalbe[],2,FALSE)&amp;"-"&amp;"T"&amp;TEXT(TaskListTable[[#This Row],[no]],"000")</f>
        <v>PJ-CATEGORY-FY-SEQ-T059</v>
      </c>
      <c r="C117" s="8"/>
      <c r="D117" s="8"/>
      <c r="E117" s="8"/>
      <c r="F117" s="8"/>
      <c r="G117" s="9"/>
      <c r="H117" s="9"/>
      <c r="I117" s="8"/>
      <c r="J117" s="8"/>
      <c r="K117" s="8"/>
      <c r="L117" s="8"/>
      <c r="M117" s="9"/>
      <c r="N117" s="8"/>
      <c r="O117" s="8"/>
      <c r="P117" t="str">
        <f>IF(TaskListTable[[#This Row],[last_update]]&gt;VLOOKUP("LAST-MTG-DATE",DEF_Parameter!$A$3:$D$102,4,FALSE),"YES","")</f>
        <v/>
      </c>
      <c r="Q117"/>
      <c r="R117"/>
    </row>
    <row r="118" spans="1:18" x14ac:dyDescent="0.45">
      <c r="A118">
        <f t="shared" si="2"/>
        <v>60</v>
      </c>
      <c r="B118" t="str">
        <f>VLOOKUP("project_id",ProjectHeaderInfoTalbe[],2,FALSE)&amp;"-"&amp;"T"&amp;TEXT(TaskListTable[[#This Row],[no]],"000")</f>
        <v>PJ-CATEGORY-FY-SEQ-T060</v>
      </c>
      <c r="C118" s="8"/>
      <c r="D118" s="8"/>
      <c r="E118" s="8"/>
      <c r="F118" s="8"/>
      <c r="G118" s="9"/>
      <c r="H118" s="9"/>
      <c r="I118" s="8"/>
      <c r="J118" s="8"/>
      <c r="K118" s="8"/>
      <c r="L118" s="8"/>
      <c r="M118" s="9"/>
      <c r="N118" s="8"/>
      <c r="O118" s="8"/>
      <c r="P118" t="str">
        <f>IF(TaskListTable[[#This Row],[last_update]]&gt;VLOOKUP("LAST-MTG-DATE",DEF_Parameter!$A$3:$D$102,4,FALSE),"YES","")</f>
        <v/>
      </c>
      <c r="Q118"/>
      <c r="R118"/>
    </row>
    <row r="119" spans="1:18" x14ac:dyDescent="0.45">
      <c r="A119">
        <f t="shared" si="2"/>
        <v>61</v>
      </c>
      <c r="B119" t="str">
        <f>VLOOKUP("project_id",ProjectHeaderInfoTalbe[],2,FALSE)&amp;"-"&amp;"T"&amp;TEXT(TaskListTable[[#This Row],[no]],"000")</f>
        <v>PJ-CATEGORY-FY-SEQ-T061</v>
      </c>
      <c r="C119" s="8"/>
      <c r="D119" s="8"/>
      <c r="E119" s="8"/>
      <c r="F119" s="8"/>
      <c r="G119" s="9"/>
      <c r="H119" s="9"/>
      <c r="I119" s="8"/>
      <c r="J119" s="8"/>
      <c r="K119" s="8"/>
      <c r="L119" s="8"/>
      <c r="M119" s="9"/>
      <c r="N119" s="8"/>
      <c r="O119" s="8"/>
      <c r="P119" t="str">
        <f>IF(TaskListTable[[#This Row],[last_update]]&gt;VLOOKUP("LAST-MTG-DATE",DEF_Parameter!$A$3:$D$102,4,FALSE),"YES","")</f>
        <v/>
      </c>
      <c r="Q119"/>
      <c r="R119"/>
    </row>
    <row r="120" spans="1:18" x14ac:dyDescent="0.45">
      <c r="A120">
        <f t="shared" si="2"/>
        <v>62</v>
      </c>
      <c r="B120" t="str">
        <f>VLOOKUP("project_id",ProjectHeaderInfoTalbe[],2,FALSE)&amp;"-"&amp;"T"&amp;TEXT(TaskListTable[[#This Row],[no]],"000")</f>
        <v>PJ-CATEGORY-FY-SEQ-T062</v>
      </c>
      <c r="C120" s="8"/>
      <c r="D120" s="8"/>
      <c r="E120" s="8"/>
      <c r="F120" s="8"/>
      <c r="G120" s="9"/>
      <c r="H120" s="9"/>
      <c r="I120" s="8"/>
      <c r="J120" s="8"/>
      <c r="K120" s="8"/>
      <c r="L120" s="8"/>
      <c r="M120" s="9"/>
      <c r="N120" s="8"/>
      <c r="O120" s="8"/>
      <c r="P120" t="str">
        <f>IF(TaskListTable[[#This Row],[last_update]]&gt;VLOOKUP("LAST-MTG-DATE",DEF_Parameter!$A$3:$D$102,4,FALSE),"YES","")</f>
        <v/>
      </c>
      <c r="Q120"/>
      <c r="R120"/>
    </row>
    <row r="121" spans="1:18" x14ac:dyDescent="0.45">
      <c r="A121">
        <f t="shared" si="2"/>
        <v>63</v>
      </c>
      <c r="B121" t="str">
        <f>VLOOKUP("project_id",ProjectHeaderInfoTalbe[],2,FALSE)&amp;"-"&amp;"T"&amp;TEXT(TaskListTable[[#This Row],[no]],"000")</f>
        <v>PJ-CATEGORY-FY-SEQ-T063</v>
      </c>
      <c r="C121" s="8"/>
      <c r="D121" s="8"/>
      <c r="E121" s="8"/>
      <c r="F121" s="8"/>
      <c r="G121" s="9"/>
      <c r="H121" s="9"/>
      <c r="I121" s="8"/>
      <c r="J121" s="8"/>
      <c r="K121" s="8"/>
      <c r="L121" s="8"/>
      <c r="M121" s="9"/>
      <c r="N121" s="8"/>
      <c r="O121" s="8"/>
      <c r="P121" t="str">
        <f>IF(TaskListTable[[#This Row],[last_update]]&gt;VLOOKUP("LAST-MTG-DATE",DEF_Parameter!$A$3:$D$102,4,FALSE),"YES","")</f>
        <v/>
      </c>
      <c r="Q121"/>
      <c r="R121"/>
    </row>
    <row r="122" spans="1:18" x14ac:dyDescent="0.45">
      <c r="A122">
        <f t="shared" si="2"/>
        <v>64</v>
      </c>
      <c r="B122" t="str">
        <f>VLOOKUP("project_id",ProjectHeaderInfoTalbe[],2,FALSE)&amp;"-"&amp;"T"&amp;TEXT(TaskListTable[[#This Row],[no]],"000")</f>
        <v>PJ-CATEGORY-FY-SEQ-T064</v>
      </c>
      <c r="C122" s="8"/>
      <c r="D122" s="8"/>
      <c r="E122" s="8"/>
      <c r="F122" s="8"/>
      <c r="G122" s="9"/>
      <c r="H122" s="9"/>
      <c r="I122" s="8"/>
      <c r="J122" s="8"/>
      <c r="K122" s="8"/>
      <c r="L122" s="8"/>
      <c r="M122" s="9"/>
      <c r="N122" s="8"/>
      <c r="O122" s="8"/>
      <c r="P122" t="str">
        <f>IF(TaskListTable[[#This Row],[last_update]]&gt;VLOOKUP("LAST-MTG-DATE",DEF_Parameter!$A$3:$D$102,4,FALSE),"YES","")</f>
        <v/>
      </c>
      <c r="Q122"/>
      <c r="R122"/>
    </row>
    <row r="123" spans="1:18" x14ac:dyDescent="0.45">
      <c r="A123">
        <f t="shared" si="2"/>
        <v>65</v>
      </c>
      <c r="B123" t="str">
        <f>VLOOKUP("project_id",ProjectHeaderInfoTalbe[],2,FALSE)&amp;"-"&amp;"T"&amp;TEXT(TaskListTable[[#This Row],[no]],"000")</f>
        <v>PJ-CATEGORY-FY-SEQ-T065</v>
      </c>
      <c r="C123" s="8"/>
      <c r="D123" s="8"/>
      <c r="E123" s="8"/>
      <c r="F123" s="8"/>
      <c r="G123" s="9"/>
      <c r="H123" s="9"/>
      <c r="I123" s="8"/>
      <c r="J123" s="8"/>
      <c r="K123" s="8"/>
      <c r="L123" s="8"/>
      <c r="M123" s="9"/>
      <c r="N123" s="8"/>
      <c r="O123" s="8"/>
      <c r="P123" t="str">
        <f>IF(TaskListTable[[#This Row],[last_update]]&gt;VLOOKUP("LAST-MTG-DATE",DEF_Parameter!$A$3:$D$102,4,FALSE),"YES","")</f>
        <v/>
      </c>
      <c r="Q123"/>
      <c r="R123"/>
    </row>
    <row r="124" spans="1:18" x14ac:dyDescent="0.45">
      <c r="A124">
        <f t="shared" ref="A124:A155" si="3">A123+1</f>
        <v>66</v>
      </c>
      <c r="B124" t="str">
        <f>VLOOKUP("project_id",ProjectHeaderInfoTalbe[],2,FALSE)&amp;"-"&amp;"T"&amp;TEXT(TaskListTable[[#This Row],[no]],"000")</f>
        <v>PJ-CATEGORY-FY-SEQ-T066</v>
      </c>
      <c r="C124" s="8"/>
      <c r="D124" s="8"/>
      <c r="E124" s="8"/>
      <c r="F124" s="8"/>
      <c r="G124" s="9"/>
      <c r="H124" s="9"/>
      <c r="I124" s="8"/>
      <c r="J124" s="8"/>
      <c r="K124" s="8"/>
      <c r="L124" s="8"/>
      <c r="M124" s="9"/>
      <c r="N124" s="8"/>
      <c r="O124" s="8"/>
      <c r="P124" t="str">
        <f>IF(TaskListTable[[#This Row],[last_update]]&gt;VLOOKUP("LAST-MTG-DATE",DEF_Parameter!$A$3:$D$102,4,FALSE),"YES","")</f>
        <v/>
      </c>
      <c r="Q124"/>
      <c r="R124"/>
    </row>
    <row r="125" spans="1:18" x14ac:dyDescent="0.45">
      <c r="A125">
        <f t="shared" si="3"/>
        <v>67</v>
      </c>
      <c r="B125" t="str">
        <f>VLOOKUP("project_id",ProjectHeaderInfoTalbe[],2,FALSE)&amp;"-"&amp;"T"&amp;TEXT(TaskListTable[[#This Row],[no]],"000")</f>
        <v>PJ-CATEGORY-FY-SEQ-T067</v>
      </c>
      <c r="C125" s="8"/>
      <c r="D125" s="8"/>
      <c r="E125" s="8"/>
      <c r="F125" s="8"/>
      <c r="G125" s="9"/>
      <c r="H125" s="9"/>
      <c r="I125" s="8"/>
      <c r="J125" s="8"/>
      <c r="K125" s="8"/>
      <c r="L125" s="8"/>
      <c r="M125" s="9"/>
      <c r="N125" s="8"/>
      <c r="O125" s="8"/>
      <c r="P125" t="str">
        <f>IF(TaskListTable[[#This Row],[last_update]]&gt;VLOOKUP("LAST-MTG-DATE",DEF_Parameter!$A$3:$D$102,4,FALSE),"YES","")</f>
        <v/>
      </c>
      <c r="Q125"/>
      <c r="R125"/>
    </row>
    <row r="126" spans="1:18" x14ac:dyDescent="0.45">
      <c r="A126">
        <f t="shared" si="3"/>
        <v>68</v>
      </c>
      <c r="B126" t="str">
        <f>VLOOKUP("project_id",ProjectHeaderInfoTalbe[],2,FALSE)&amp;"-"&amp;"T"&amp;TEXT(TaskListTable[[#This Row],[no]],"000")</f>
        <v>PJ-CATEGORY-FY-SEQ-T068</v>
      </c>
      <c r="C126" s="8"/>
      <c r="D126" s="8"/>
      <c r="E126" s="8"/>
      <c r="F126" s="8"/>
      <c r="G126" s="9"/>
      <c r="H126" s="9"/>
      <c r="I126" s="8"/>
      <c r="J126" s="8"/>
      <c r="K126" s="8"/>
      <c r="L126" s="8"/>
      <c r="M126" s="9"/>
      <c r="N126" s="8"/>
      <c r="O126" s="8"/>
      <c r="P126" t="str">
        <f>IF(TaskListTable[[#This Row],[last_update]]&gt;VLOOKUP("LAST-MTG-DATE",DEF_Parameter!$A$3:$D$102,4,FALSE),"YES","")</f>
        <v/>
      </c>
      <c r="Q126"/>
      <c r="R126"/>
    </row>
    <row r="127" spans="1:18" x14ac:dyDescent="0.45">
      <c r="A127">
        <f t="shared" si="3"/>
        <v>69</v>
      </c>
      <c r="B127" t="str">
        <f>VLOOKUP("project_id",ProjectHeaderInfoTalbe[],2,FALSE)&amp;"-"&amp;"T"&amp;TEXT(TaskListTable[[#This Row],[no]],"000")</f>
        <v>PJ-CATEGORY-FY-SEQ-T069</v>
      </c>
      <c r="C127" s="8"/>
      <c r="D127" s="8"/>
      <c r="E127" s="8"/>
      <c r="F127" s="8"/>
      <c r="G127" s="9"/>
      <c r="H127" s="9"/>
      <c r="I127" s="8"/>
      <c r="J127" s="8"/>
      <c r="K127" s="8"/>
      <c r="L127" s="8"/>
      <c r="M127" s="9"/>
      <c r="N127" s="8"/>
      <c r="O127" s="8"/>
      <c r="P127" t="str">
        <f>IF(TaskListTable[[#This Row],[last_update]]&gt;VLOOKUP("LAST-MTG-DATE",DEF_Parameter!$A$3:$D$102,4,FALSE),"YES","")</f>
        <v/>
      </c>
      <c r="Q127"/>
      <c r="R127"/>
    </row>
    <row r="128" spans="1:18" x14ac:dyDescent="0.45">
      <c r="A128">
        <f t="shared" si="3"/>
        <v>70</v>
      </c>
      <c r="B128" t="str">
        <f>VLOOKUP("project_id",ProjectHeaderInfoTalbe[],2,FALSE)&amp;"-"&amp;"T"&amp;TEXT(TaskListTable[[#This Row],[no]],"000")</f>
        <v>PJ-CATEGORY-FY-SEQ-T070</v>
      </c>
      <c r="C128" s="8"/>
      <c r="D128" s="8"/>
      <c r="E128" s="8"/>
      <c r="F128" s="8"/>
      <c r="G128" s="9"/>
      <c r="H128" s="9"/>
      <c r="I128" s="8"/>
      <c r="J128" s="8"/>
      <c r="K128" s="8"/>
      <c r="L128" s="8"/>
      <c r="M128" s="9"/>
      <c r="N128" s="8"/>
      <c r="O128" s="8"/>
      <c r="P128" t="str">
        <f>IF(TaskListTable[[#This Row],[last_update]]&gt;VLOOKUP("LAST-MTG-DATE",DEF_Parameter!$A$3:$D$102,4,FALSE),"YES","")</f>
        <v/>
      </c>
      <c r="Q128"/>
      <c r="R128"/>
    </row>
    <row r="129" spans="1:18" x14ac:dyDescent="0.45">
      <c r="A129">
        <f t="shared" si="3"/>
        <v>71</v>
      </c>
      <c r="B129" t="str">
        <f>VLOOKUP("project_id",ProjectHeaderInfoTalbe[],2,FALSE)&amp;"-"&amp;"T"&amp;TEXT(TaskListTable[[#This Row],[no]],"000")</f>
        <v>PJ-CATEGORY-FY-SEQ-T071</v>
      </c>
      <c r="C129" s="8"/>
      <c r="D129" s="8"/>
      <c r="E129" s="8"/>
      <c r="F129" s="8"/>
      <c r="G129" s="9"/>
      <c r="H129" s="9"/>
      <c r="I129" s="8"/>
      <c r="J129" s="8"/>
      <c r="K129" s="8"/>
      <c r="L129" s="8"/>
      <c r="M129" s="9"/>
      <c r="N129" s="8"/>
      <c r="O129" s="8"/>
      <c r="P129" t="str">
        <f>IF(TaskListTable[[#This Row],[last_update]]&gt;VLOOKUP("LAST-MTG-DATE",DEF_Parameter!$A$3:$D$102,4,FALSE),"YES","")</f>
        <v/>
      </c>
      <c r="Q129"/>
      <c r="R129"/>
    </row>
    <row r="130" spans="1:18" x14ac:dyDescent="0.45">
      <c r="A130">
        <f t="shared" si="3"/>
        <v>72</v>
      </c>
      <c r="B130" t="str">
        <f>VLOOKUP("project_id",ProjectHeaderInfoTalbe[],2,FALSE)&amp;"-"&amp;"T"&amp;TEXT(TaskListTable[[#This Row],[no]],"000")</f>
        <v>PJ-CATEGORY-FY-SEQ-T072</v>
      </c>
      <c r="C130" s="8"/>
      <c r="D130" s="8"/>
      <c r="E130" s="8"/>
      <c r="F130" s="8"/>
      <c r="G130" s="9"/>
      <c r="H130" s="9"/>
      <c r="I130" s="8"/>
      <c r="J130" s="8"/>
      <c r="K130" s="8"/>
      <c r="L130" s="8"/>
      <c r="M130" s="9"/>
      <c r="N130" s="8"/>
      <c r="O130" s="8"/>
      <c r="P130" t="str">
        <f>IF(TaskListTable[[#This Row],[last_update]]&gt;VLOOKUP("LAST-MTG-DATE",DEF_Parameter!$A$3:$D$102,4,FALSE),"YES","")</f>
        <v/>
      </c>
      <c r="Q130"/>
      <c r="R130"/>
    </row>
    <row r="131" spans="1:18" x14ac:dyDescent="0.45">
      <c r="A131">
        <f t="shared" si="3"/>
        <v>73</v>
      </c>
      <c r="B131" t="str">
        <f>VLOOKUP("project_id",ProjectHeaderInfoTalbe[],2,FALSE)&amp;"-"&amp;"T"&amp;TEXT(TaskListTable[[#This Row],[no]],"000")</f>
        <v>PJ-CATEGORY-FY-SEQ-T073</v>
      </c>
      <c r="C131" s="8"/>
      <c r="D131" s="8"/>
      <c r="E131" s="8"/>
      <c r="F131" s="8"/>
      <c r="G131" s="9"/>
      <c r="H131" s="9"/>
      <c r="I131" s="8"/>
      <c r="J131" s="8"/>
      <c r="K131" s="8"/>
      <c r="L131" s="8"/>
      <c r="M131" s="9"/>
      <c r="N131" s="8"/>
      <c r="O131" s="8"/>
      <c r="P131" t="str">
        <f>IF(TaskListTable[[#This Row],[last_update]]&gt;VLOOKUP("LAST-MTG-DATE",DEF_Parameter!$A$3:$D$102,4,FALSE),"YES","")</f>
        <v/>
      </c>
      <c r="Q131"/>
      <c r="R131"/>
    </row>
    <row r="132" spans="1:18" x14ac:dyDescent="0.45">
      <c r="A132">
        <f t="shared" si="3"/>
        <v>74</v>
      </c>
      <c r="B132" t="str">
        <f>VLOOKUP("project_id",ProjectHeaderInfoTalbe[],2,FALSE)&amp;"-"&amp;"T"&amp;TEXT(TaskListTable[[#This Row],[no]],"000")</f>
        <v>PJ-CATEGORY-FY-SEQ-T074</v>
      </c>
      <c r="C132" s="8"/>
      <c r="D132" s="8"/>
      <c r="E132" s="8"/>
      <c r="F132" s="8"/>
      <c r="G132" s="9"/>
      <c r="H132" s="9"/>
      <c r="I132" s="8"/>
      <c r="J132" s="8"/>
      <c r="K132" s="8"/>
      <c r="L132" s="8"/>
      <c r="M132" s="9"/>
      <c r="N132" s="8"/>
      <c r="O132" s="8"/>
      <c r="P132" t="str">
        <f>IF(TaskListTable[[#This Row],[last_update]]&gt;VLOOKUP("LAST-MTG-DATE",DEF_Parameter!$A$3:$D$102,4,FALSE),"YES","")</f>
        <v/>
      </c>
      <c r="Q132"/>
      <c r="R132"/>
    </row>
    <row r="133" spans="1:18" x14ac:dyDescent="0.45">
      <c r="A133">
        <f t="shared" si="3"/>
        <v>75</v>
      </c>
      <c r="B133" t="str">
        <f>VLOOKUP("project_id",ProjectHeaderInfoTalbe[],2,FALSE)&amp;"-"&amp;"T"&amp;TEXT(TaskListTable[[#This Row],[no]],"000")</f>
        <v>PJ-CATEGORY-FY-SEQ-T075</v>
      </c>
      <c r="C133" s="8"/>
      <c r="D133" s="8"/>
      <c r="E133" s="8"/>
      <c r="F133" s="8"/>
      <c r="G133" s="9"/>
      <c r="H133" s="9"/>
      <c r="I133" s="8"/>
      <c r="J133" s="8"/>
      <c r="K133" s="8"/>
      <c r="L133" s="8"/>
      <c r="M133" s="9"/>
      <c r="N133" s="8"/>
      <c r="O133" s="8"/>
      <c r="P133" t="str">
        <f>IF(TaskListTable[[#This Row],[last_update]]&gt;VLOOKUP("LAST-MTG-DATE",DEF_Parameter!$A$3:$D$102,4,FALSE),"YES","")</f>
        <v/>
      </c>
      <c r="Q133"/>
      <c r="R133"/>
    </row>
    <row r="134" spans="1:18" x14ac:dyDescent="0.45">
      <c r="A134">
        <f t="shared" si="3"/>
        <v>76</v>
      </c>
      <c r="B134" t="str">
        <f>VLOOKUP("project_id",ProjectHeaderInfoTalbe[],2,FALSE)&amp;"-"&amp;"T"&amp;TEXT(TaskListTable[[#This Row],[no]],"000")</f>
        <v>PJ-CATEGORY-FY-SEQ-T076</v>
      </c>
      <c r="C134" s="8"/>
      <c r="D134" s="8"/>
      <c r="E134" s="8"/>
      <c r="F134" s="8"/>
      <c r="G134" s="9"/>
      <c r="H134" s="9"/>
      <c r="I134" s="8"/>
      <c r="J134" s="8"/>
      <c r="K134" s="8"/>
      <c r="L134" s="8"/>
      <c r="M134" s="9"/>
      <c r="N134" s="8"/>
      <c r="O134" s="8"/>
      <c r="P134" t="str">
        <f>IF(TaskListTable[[#This Row],[last_update]]&gt;VLOOKUP("LAST-MTG-DATE",DEF_Parameter!$A$3:$D$102,4,FALSE),"YES","")</f>
        <v/>
      </c>
      <c r="Q134"/>
      <c r="R134"/>
    </row>
    <row r="135" spans="1:18" x14ac:dyDescent="0.45">
      <c r="A135">
        <f t="shared" si="3"/>
        <v>77</v>
      </c>
      <c r="B135" t="str">
        <f>VLOOKUP("project_id",ProjectHeaderInfoTalbe[],2,FALSE)&amp;"-"&amp;"T"&amp;TEXT(TaskListTable[[#This Row],[no]],"000")</f>
        <v>PJ-CATEGORY-FY-SEQ-T077</v>
      </c>
      <c r="C135" s="8"/>
      <c r="D135" s="8"/>
      <c r="E135" s="8"/>
      <c r="F135" s="8"/>
      <c r="G135" s="9"/>
      <c r="H135" s="9"/>
      <c r="I135" s="8"/>
      <c r="J135" s="8"/>
      <c r="K135" s="8"/>
      <c r="L135" s="8"/>
      <c r="M135" s="9"/>
      <c r="N135" s="8"/>
      <c r="O135" s="8"/>
      <c r="P135" t="str">
        <f>IF(TaskListTable[[#This Row],[last_update]]&gt;VLOOKUP("LAST-MTG-DATE",DEF_Parameter!$A$3:$D$102,4,FALSE),"YES","")</f>
        <v/>
      </c>
      <c r="Q135"/>
      <c r="R135"/>
    </row>
    <row r="136" spans="1:18" x14ac:dyDescent="0.45">
      <c r="A136">
        <f t="shared" si="3"/>
        <v>78</v>
      </c>
      <c r="B136" t="str">
        <f>VLOOKUP("project_id",ProjectHeaderInfoTalbe[],2,FALSE)&amp;"-"&amp;"T"&amp;TEXT(TaskListTable[[#This Row],[no]],"000")</f>
        <v>PJ-CATEGORY-FY-SEQ-T078</v>
      </c>
      <c r="C136" s="8"/>
      <c r="D136" s="8"/>
      <c r="E136" s="8"/>
      <c r="F136" s="8"/>
      <c r="G136" s="9"/>
      <c r="H136" s="9"/>
      <c r="I136" s="8"/>
      <c r="J136" s="8"/>
      <c r="K136" s="8"/>
      <c r="L136" s="8"/>
      <c r="M136" s="9"/>
      <c r="N136" s="8"/>
      <c r="O136" s="8"/>
      <c r="P136" t="str">
        <f>IF(TaskListTable[[#This Row],[last_update]]&gt;VLOOKUP("LAST-MTG-DATE",DEF_Parameter!$A$3:$D$102,4,FALSE),"YES","")</f>
        <v/>
      </c>
      <c r="Q136"/>
      <c r="R136"/>
    </row>
    <row r="137" spans="1:18" x14ac:dyDescent="0.45">
      <c r="A137">
        <f t="shared" si="3"/>
        <v>79</v>
      </c>
      <c r="B137" t="str">
        <f>VLOOKUP("project_id",ProjectHeaderInfoTalbe[],2,FALSE)&amp;"-"&amp;"T"&amp;TEXT(TaskListTable[[#This Row],[no]],"000")</f>
        <v>PJ-CATEGORY-FY-SEQ-T079</v>
      </c>
      <c r="C137" s="8"/>
      <c r="D137" s="8"/>
      <c r="E137" s="8"/>
      <c r="F137" s="8"/>
      <c r="G137" s="9"/>
      <c r="H137" s="9"/>
      <c r="I137" s="8"/>
      <c r="J137" s="8"/>
      <c r="K137" s="8"/>
      <c r="L137" s="8"/>
      <c r="M137" s="9"/>
      <c r="N137" s="8"/>
      <c r="O137" s="8"/>
      <c r="P137" t="str">
        <f>IF(TaskListTable[[#This Row],[last_update]]&gt;VLOOKUP("LAST-MTG-DATE",DEF_Parameter!$A$3:$D$102,4,FALSE),"YES","")</f>
        <v/>
      </c>
      <c r="Q137"/>
      <c r="R137"/>
    </row>
    <row r="138" spans="1:18" x14ac:dyDescent="0.45">
      <c r="A138">
        <f t="shared" si="3"/>
        <v>80</v>
      </c>
      <c r="B138" t="str">
        <f>VLOOKUP("project_id",ProjectHeaderInfoTalbe[],2,FALSE)&amp;"-"&amp;"T"&amp;TEXT(TaskListTable[[#This Row],[no]],"000")</f>
        <v>PJ-CATEGORY-FY-SEQ-T080</v>
      </c>
      <c r="C138" s="8"/>
      <c r="D138" s="8"/>
      <c r="E138" s="8"/>
      <c r="F138" s="8"/>
      <c r="G138" s="9"/>
      <c r="H138" s="9"/>
      <c r="I138" s="8"/>
      <c r="J138" s="8"/>
      <c r="K138" s="8"/>
      <c r="L138" s="8"/>
      <c r="M138" s="9"/>
      <c r="N138" s="8"/>
      <c r="O138" s="8"/>
      <c r="P138" t="str">
        <f>IF(TaskListTable[[#This Row],[last_update]]&gt;VLOOKUP("LAST-MTG-DATE",DEF_Parameter!$A$3:$D$102,4,FALSE),"YES","")</f>
        <v/>
      </c>
      <c r="Q138"/>
      <c r="R138"/>
    </row>
    <row r="139" spans="1:18" x14ac:dyDescent="0.45">
      <c r="A139">
        <f t="shared" si="3"/>
        <v>81</v>
      </c>
      <c r="B139" t="str">
        <f>VLOOKUP("project_id",ProjectHeaderInfoTalbe[],2,FALSE)&amp;"-"&amp;"T"&amp;TEXT(TaskListTable[[#This Row],[no]],"000")</f>
        <v>PJ-CATEGORY-FY-SEQ-T081</v>
      </c>
      <c r="C139" s="8"/>
      <c r="D139" s="8"/>
      <c r="E139" s="8"/>
      <c r="F139" s="8"/>
      <c r="G139" s="9"/>
      <c r="H139" s="9"/>
      <c r="I139" s="8"/>
      <c r="J139" s="8"/>
      <c r="K139" s="8"/>
      <c r="L139" s="8"/>
      <c r="M139" s="9"/>
      <c r="N139" s="8"/>
      <c r="O139" s="8"/>
      <c r="P139" t="str">
        <f>IF(TaskListTable[[#This Row],[last_update]]&gt;VLOOKUP("LAST-MTG-DATE",DEF_Parameter!$A$3:$D$102,4,FALSE),"YES","")</f>
        <v/>
      </c>
      <c r="Q139"/>
      <c r="R139"/>
    </row>
    <row r="140" spans="1:18" x14ac:dyDescent="0.45">
      <c r="A140">
        <f t="shared" si="3"/>
        <v>82</v>
      </c>
      <c r="B140" t="str">
        <f>VLOOKUP("project_id",ProjectHeaderInfoTalbe[],2,FALSE)&amp;"-"&amp;"T"&amp;TEXT(TaskListTable[[#This Row],[no]],"000")</f>
        <v>PJ-CATEGORY-FY-SEQ-T082</v>
      </c>
      <c r="C140" s="8"/>
      <c r="D140" s="8"/>
      <c r="E140" s="8"/>
      <c r="F140" s="8"/>
      <c r="G140" s="9"/>
      <c r="H140" s="9"/>
      <c r="I140" s="8"/>
      <c r="J140" s="8"/>
      <c r="K140" s="8"/>
      <c r="L140" s="8"/>
      <c r="M140" s="9"/>
      <c r="N140" s="8"/>
      <c r="O140" s="8"/>
      <c r="P140" t="str">
        <f>IF(TaskListTable[[#This Row],[last_update]]&gt;VLOOKUP("LAST-MTG-DATE",DEF_Parameter!$A$3:$D$102,4,FALSE),"YES","")</f>
        <v/>
      </c>
      <c r="Q140"/>
      <c r="R140"/>
    </row>
    <row r="141" spans="1:18" x14ac:dyDescent="0.45">
      <c r="A141">
        <f t="shared" si="3"/>
        <v>83</v>
      </c>
      <c r="B141" t="str">
        <f>VLOOKUP("project_id",ProjectHeaderInfoTalbe[],2,FALSE)&amp;"-"&amp;"T"&amp;TEXT(TaskListTable[[#This Row],[no]],"000")</f>
        <v>PJ-CATEGORY-FY-SEQ-T083</v>
      </c>
      <c r="C141" s="8"/>
      <c r="D141" s="8"/>
      <c r="E141" s="8"/>
      <c r="F141" s="8"/>
      <c r="G141" s="9"/>
      <c r="H141" s="9"/>
      <c r="I141" s="8"/>
      <c r="J141" s="8"/>
      <c r="K141" s="8"/>
      <c r="L141" s="8"/>
      <c r="M141" s="9"/>
      <c r="N141" s="8"/>
      <c r="O141" s="8"/>
      <c r="P141" t="str">
        <f>IF(TaskListTable[[#This Row],[last_update]]&gt;VLOOKUP("LAST-MTG-DATE",DEF_Parameter!$A$3:$D$102,4,FALSE),"YES","")</f>
        <v/>
      </c>
      <c r="Q141"/>
      <c r="R141"/>
    </row>
    <row r="142" spans="1:18" x14ac:dyDescent="0.45">
      <c r="A142">
        <f t="shared" si="3"/>
        <v>84</v>
      </c>
      <c r="B142" t="str">
        <f>VLOOKUP("project_id",ProjectHeaderInfoTalbe[],2,FALSE)&amp;"-"&amp;"T"&amp;TEXT(TaskListTable[[#This Row],[no]],"000")</f>
        <v>PJ-CATEGORY-FY-SEQ-T084</v>
      </c>
      <c r="C142" s="8"/>
      <c r="D142" s="8"/>
      <c r="E142" s="8"/>
      <c r="F142" s="8"/>
      <c r="G142" s="9"/>
      <c r="H142" s="9"/>
      <c r="I142" s="8"/>
      <c r="J142" s="8"/>
      <c r="K142" s="8"/>
      <c r="L142" s="8"/>
      <c r="M142" s="9"/>
      <c r="N142" s="8"/>
      <c r="O142" s="8"/>
      <c r="P142" t="str">
        <f>IF(TaskListTable[[#This Row],[last_update]]&gt;VLOOKUP("LAST-MTG-DATE",DEF_Parameter!$A$3:$D$102,4,FALSE),"YES","")</f>
        <v/>
      </c>
      <c r="Q142"/>
      <c r="R142"/>
    </row>
    <row r="143" spans="1:18" x14ac:dyDescent="0.45">
      <c r="A143">
        <f t="shared" si="3"/>
        <v>85</v>
      </c>
      <c r="B143" t="str">
        <f>VLOOKUP("project_id",ProjectHeaderInfoTalbe[],2,FALSE)&amp;"-"&amp;"T"&amp;TEXT(TaskListTable[[#This Row],[no]],"000")</f>
        <v>PJ-CATEGORY-FY-SEQ-T085</v>
      </c>
      <c r="C143" s="8"/>
      <c r="D143" s="8"/>
      <c r="E143" s="8"/>
      <c r="F143" s="8"/>
      <c r="G143" s="9"/>
      <c r="H143" s="9"/>
      <c r="I143" s="8"/>
      <c r="J143" s="8"/>
      <c r="K143" s="8"/>
      <c r="L143" s="8"/>
      <c r="M143" s="9"/>
      <c r="N143" s="8"/>
      <c r="O143" s="8"/>
      <c r="P143" t="str">
        <f>IF(TaskListTable[[#This Row],[last_update]]&gt;VLOOKUP("LAST-MTG-DATE",DEF_Parameter!$A$3:$D$102,4,FALSE),"YES","")</f>
        <v/>
      </c>
      <c r="Q143"/>
      <c r="R143"/>
    </row>
    <row r="144" spans="1:18" x14ac:dyDescent="0.45">
      <c r="A144">
        <f t="shared" si="3"/>
        <v>86</v>
      </c>
      <c r="B144" t="str">
        <f>VLOOKUP("project_id",ProjectHeaderInfoTalbe[],2,FALSE)&amp;"-"&amp;"T"&amp;TEXT(TaskListTable[[#This Row],[no]],"000")</f>
        <v>PJ-CATEGORY-FY-SEQ-T086</v>
      </c>
      <c r="C144" s="8"/>
      <c r="D144" s="8"/>
      <c r="E144" s="8"/>
      <c r="F144" s="8"/>
      <c r="G144" s="9"/>
      <c r="H144" s="9"/>
      <c r="I144" s="8"/>
      <c r="J144" s="8"/>
      <c r="K144" s="8"/>
      <c r="L144" s="8"/>
      <c r="M144" s="9"/>
      <c r="N144" s="8"/>
      <c r="O144" s="8"/>
      <c r="P144" t="str">
        <f>IF(TaskListTable[[#This Row],[last_update]]&gt;VLOOKUP("LAST-MTG-DATE",DEF_Parameter!$A$3:$D$102,4,FALSE),"YES","")</f>
        <v/>
      </c>
      <c r="Q144"/>
      <c r="R144"/>
    </row>
    <row r="145" spans="1:18" x14ac:dyDescent="0.45">
      <c r="A145">
        <f t="shared" si="3"/>
        <v>87</v>
      </c>
      <c r="B145" t="str">
        <f>VLOOKUP("project_id",ProjectHeaderInfoTalbe[],2,FALSE)&amp;"-"&amp;"T"&amp;TEXT(TaskListTable[[#This Row],[no]],"000")</f>
        <v>PJ-CATEGORY-FY-SEQ-T087</v>
      </c>
      <c r="C145" s="8"/>
      <c r="D145" s="8"/>
      <c r="E145" s="8"/>
      <c r="F145" s="8"/>
      <c r="G145" s="9"/>
      <c r="H145" s="9"/>
      <c r="I145" s="8"/>
      <c r="J145" s="8"/>
      <c r="K145" s="8"/>
      <c r="L145" s="8"/>
      <c r="M145" s="9"/>
      <c r="N145" s="8"/>
      <c r="O145" s="8"/>
      <c r="P145" t="str">
        <f>IF(TaskListTable[[#This Row],[last_update]]&gt;VLOOKUP("LAST-MTG-DATE",DEF_Parameter!$A$3:$D$102,4,FALSE),"YES","")</f>
        <v/>
      </c>
      <c r="Q145"/>
      <c r="R145"/>
    </row>
    <row r="146" spans="1:18" x14ac:dyDescent="0.45">
      <c r="A146">
        <f t="shared" si="3"/>
        <v>88</v>
      </c>
      <c r="B146" t="str">
        <f>VLOOKUP("project_id",ProjectHeaderInfoTalbe[],2,FALSE)&amp;"-"&amp;"T"&amp;TEXT(TaskListTable[[#This Row],[no]],"000")</f>
        <v>PJ-CATEGORY-FY-SEQ-T088</v>
      </c>
      <c r="C146" s="8"/>
      <c r="D146" s="8"/>
      <c r="E146" s="8"/>
      <c r="F146" s="8"/>
      <c r="G146" s="9"/>
      <c r="H146" s="9"/>
      <c r="I146" s="8"/>
      <c r="J146" s="8"/>
      <c r="K146" s="8"/>
      <c r="L146" s="8"/>
      <c r="M146" s="9"/>
      <c r="N146" s="8"/>
      <c r="O146" s="8"/>
      <c r="P146" t="str">
        <f>IF(TaskListTable[[#This Row],[last_update]]&gt;VLOOKUP("LAST-MTG-DATE",DEF_Parameter!$A$3:$D$102,4,FALSE),"YES","")</f>
        <v/>
      </c>
      <c r="Q146"/>
      <c r="R146"/>
    </row>
    <row r="147" spans="1:18" x14ac:dyDescent="0.45">
      <c r="A147">
        <f t="shared" si="3"/>
        <v>89</v>
      </c>
      <c r="B147" t="str">
        <f>VLOOKUP("project_id",ProjectHeaderInfoTalbe[],2,FALSE)&amp;"-"&amp;"T"&amp;TEXT(TaskListTable[[#This Row],[no]],"000")</f>
        <v>PJ-CATEGORY-FY-SEQ-T089</v>
      </c>
      <c r="C147" s="8"/>
      <c r="D147" s="8"/>
      <c r="E147" s="8"/>
      <c r="F147" s="8"/>
      <c r="G147" s="9"/>
      <c r="H147" s="9"/>
      <c r="I147" s="8"/>
      <c r="J147" s="8"/>
      <c r="K147" s="8"/>
      <c r="L147" s="8"/>
      <c r="M147" s="9"/>
      <c r="N147" s="8"/>
      <c r="O147" s="8"/>
      <c r="P147" t="str">
        <f>IF(TaskListTable[[#This Row],[last_update]]&gt;VLOOKUP("LAST-MTG-DATE",DEF_Parameter!$A$3:$D$102,4,FALSE),"YES","")</f>
        <v/>
      </c>
      <c r="Q147"/>
      <c r="R147"/>
    </row>
    <row r="148" spans="1:18" x14ac:dyDescent="0.45">
      <c r="A148">
        <f t="shared" si="3"/>
        <v>90</v>
      </c>
      <c r="B148" t="str">
        <f>VLOOKUP("project_id",ProjectHeaderInfoTalbe[],2,FALSE)&amp;"-"&amp;"T"&amp;TEXT(TaskListTable[[#This Row],[no]],"000")</f>
        <v>PJ-CATEGORY-FY-SEQ-T090</v>
      </c>
      <c r="C148" s="8"/>
      <c r="D148" s="8"/>
      <c r="E148" s="8"/>
      <c r="F148" s="8"/>
      <c r="G148" s="9"/>
      <c r="H148" s="9"/>
      <c r="I148" s="8"/>
      <c r="J148" s="8"/>
      <c r="K148" s="8"/>
      <c r="L148" s="8"/>
      <c r="M148" s="9"/>
      <c r="N148" s="8"/>
      <c r="O148" s="8"/>
      <c r="P148" t="str">
        <f>IF(TaskListTable[[#This Row],[last_update]]&gt;VLOOKUP("LAST-MTG-DATE",DEF_Parameter!$A$3:$D$102,4,FALSE),"YES","")</f>
        <v/>
      </c>
      <c r="Q148"/>
      <c r="R148"/>
    </row>
    <row r="149" spans="1:18" x14ac:dyDescent="0.45">
      <c r="A149">
        <f t="shared" si="3"/>
        <v>91</v>
      </c>
      <c r="B149" t="str">
        <f>VLOOKUP("project_id",ProjectHeaderInfoTalbe[],2,FALSE)&amp;"-"&amp;"T"&amp;TEXT(TaskListTable[[#This Row],[no]],"000")</f>
        <v>PJ-CATEGORY-FY-SEQ-T091</v>
      </c>
      <c r="C149" s="8"/>
      <c r="D149" s="8"/>
      <c r="E149" s="8"/>
      <c r="F149" s="8"/>
      <c r="G149" s="9"/>
      <c r="H149" s="9"/>
      <c r="I149" s="8"/>
      <c r="J149" s="8"/>
      <c r="K149" s="8"/>
      <c r="L149" s="8"/>
      <c r="M149" s="9"/>
      <c r="N149" s="8"/>
      <c r="O149" s="8"/>
      <c r="P149" t="str">
        <f>IF(TaskListTable[[#This Row],[last_update]]&gt;VLOOKUP("LAST-MTG-DATE",DEF_Parameter!$A$3:$D$102,4,FALSE),"YES","")</f>
        <v/>
      </c>
      <c r="Q149"/>
      <c r="R149"/>
    </row>
    <row r="150" spans="1:18" x14ac:dyDescent="0.45">
      <c r="A150">
        <f t="shared" si="3"/>
        <v>92</v>
      </c>
      <c r="B150" t="str">
        <f>VLOOKUP("project_id",ProjectHeaderInfoTalbe[],2,FALSE)&amp;"-"&amp;"T"&amp;TEXT(TaskListTable[[#This Row],[no]],"000")</f>
        <v>PJ-CATEGORY-FY-SEQ-T092</v>
      </c>
      <c r="C150" s="8"/>
      <c r="D150" s="8"/>
      <c r="E150" s="8"/>
      <c r="F150" s="8"/>
      <c r="G150" s="9"/>
      <c r="H150" s="9"/>
      <c r="I150" s="8"/>
      <c r="J150" s="8"/>
      <c r="K150" s="8"/>
      <c r="L150" s="8"/>
      <c r="M150" s="9"/>
      <c r="N150" s="8"/>
      <c r="O150" s="8"/>
      <c r="P150" t="str">
        <f>IF(TaskListTable[[#This Row],[last_update]]&gt;VLOOKUP("LAST-MTG-DATE",DEF_Parameter!$A$3:$D$102,4,FALSE),"YES","")</f>
        <v/>
      </c>
      <c r="Q150"/>
      <c r="R150"/>
    </row>
    <row r="151" spans="1:18" x14ac:dyDescent="0.45">
      <c r="A151">
        <f t="shared" si="3"/>
        <v>93</v>
      </c>
      <c r="B151" t="str">
        <f>VLOOKUP("project_id",ProjectHeaderInfoTalbe[],2,FALSE)&amp;"-"&amp;"T"&amp;TEXT(TaskListTable[[#This Row],[no]],"000")</f>
        <v>PJ-CATEGORY-FY-SEQ-T093</v>
      </c>
      <c r="C151" s="8"/>
      <c r="D151" s="8"/>
      <c r="E151" s="8"/>
      <c r="F151" s="8"/>
      <c r="G151" s="9"/>
      <c r="H151" s="9"/>
      <c r="I151" s="8"/>
      <c r="J151" s="8"/>
      <c r="K151" s="8"/>
      <c r="L151" s="8"/>
      <c r="M151" s="9"/>
      <c r="N151" s="8"/>
      <c r="O151" s="8"/>
      <c r="P151" t="str">
        <f>IF(TaskListTable[[#This Row],[last_update]]&gt;VLOOKUP("LAST-MTG-DATE",DEF_Parameter!$A$3:$D$102,4,FALSE),"YES","")</f>
        <v/>
      </c>
      <c r="Q151"/>
      <c r="R151"/>
    </row>
    <row r="152" spans="1:18" x14ac:dyDescent="0.45">
      <c r="A152">
        <f t="shared" si="3"/>
        <v>94</v>
      </c>
      <c r="B152" t="str">
        <f>VLOOKUP("project_id",ProjectHeaderInfoTalbe[],2,FALSE)&amp;"-"&amp;"T"&amp;TEXT(TaskListTable[[#This Row],[no]],"000")</f>
        <v>PJ-CATEGORY-FY-SEQ-T094</v>
      </c>
      <c r="C152" s="8"/>
      <c r="D152" s="8"/>
      <c r="E152" s="8"/>
      <c r="F152" s="8"/>
      <c r="G152" s="9"/>
      <c r="H152" s="9"/>
      <c r="I152" s="8"/>
      <c r="J152" s="8"/>
      <c r="K152" s="8"/>
      <c r="L152" s="8"/>
      <c r="M152" s="9"/>
      <c r="N152" s="8"/>
      <c r="O152" s="8"/>
      <c r="P152" t="str">
        <f>IF(TaskListTable[[#This Row],[last_update]]&gt;VLOOKUP("LAST-MTG-DATE",DEF_Parameter!$A$3:$D$102,4,FALSE),"YES","")</f>
        <v/>
      </c>
      <c r="Q152"/>
      <c r="R152"/>
    </row>
    <row r="153" spans="1:18" x14ac:dyDescent="0.45">
      <c r="A153">
        <f t="shared" si="3"/>
        <v>95</v>
      </c>
      <c r="B153" t="str">
        <f>VLOOKUP("project_id",ProjectHeaderInfoTalbe[],2,FALSE)&amp;"-"&amp;"T"&amp;TEXT(TaskListTable[[#This Row],[no]],"000")</f>
        <v>PJ-CATEGORY-FY-SEQ-T095</v>
      </c>
      <c r="C153" s="8"/>
      <c r="D153" s="8"/>
      <c r="E153" s="8"/>
      <c r="F153" s="8"/>
      <c r="G153" s="9"/>
      <c r="H153" s="9"/>
      <c r="I153" s="8"/>
      <c r="J153" s="8"/>
      <c r="K153" s="8"/>
      <c r="L153" s="8"/>
      <c r="M153" s="9"/>
      <c r="N153" s="8"/>
      <c r="O153" s="8"/>
      <c r="P153" t="str">
        <f>IF(TaskListTable[[#This Row],[last_update]]&gt;VLOOKUP("LAST-MTG-DATE",DEF_Parameter!$A$3:$D$102,4,FALSE),"YES","")</f>
        <v/>
      </c>
      <c r="Q153"/>
      <c r="R153"/>
    </row>
    <row r="154" spans="1:18" x14ac:dyDescent="0.45">
      <c r="A154">
        <f t="shared" si="3"/>
        <v>96</v>
      </c>
      <c r="B154" t="str">
        <f>VLOOKUP("project_id",ProjectHeaderInfoTalbe[],2,FALSE)&amp;"-"&amp;"T"&amp;TEXT(TaskListTable[[#This Row],[no]],"000")</f>
        <v>PJ-CATEGORY-FY-SEQ-T096</v>
      </c>
      <c r="C154" s="8"/>
      <c r="D154" s="8"/>
      <c r="E154" s="8"/>
      <c r="F154" s="8"/>
      <c r="G154" s="9"/>
      <c r="H154" s="9"/>
      <c r="I154" s="8"/>
      <c r="J154" s="8"/>
      <c r="K154" s="8"/>
      <c r="L154" s="8"/>
      <c r="M154" s="9"/>
      <c r="N154" s="8"/>
      <c r="O154" s="8"/>
      <c r="P154" t="str">
        <f>IF(TaskListTable[[#This Row],[last_update]]&gt;VLOOKUP("LAST-MTG-DATE",DEF_Parameter!$A$3:$D$102,4,FALSE),"YES","")</f>
        <v/>
      </c>
      <c r="Q154"/>
      <c r="R154"/>
    </row>
    <row r="155" spans="1:18" x14ac:dyDescent="0.45">
      <c r="A155">
        <f t="shared" si="3"/>
        <v>97</v>
      </c>
      <c r="B155" t="str">
        <f>VLOOKUP("project_id",ProjectHeaderInfoTalbe[],2,FALSE)&amp;"-"&amp;"T"&amp;TEXT(TaskListTable[[#This Row],[no]],"000")</f>
        <v>PJ-CATEGORY-FY-SEQ-T097</v>
      </c>
      <c r="C155" s="8"/>
      <c r="D155" s="8"/>
      <c r="E155" s="8"/>
      <c r="F155" s="8"/>
      <c r="G155" s="9"/>
      <c r="H155" s="9"/>
      <c r="I155" s="8"/>
      <c r="J155" s="8"/>
      <c r="K155" s="8"/>
      <c r="L155" s="8"/>
      <c r="M155" s="9"/>
      <c r="N155" s="8"/>
      <c r="O155" s="8"/>
      <c r="P155" t="str">
        <f>IF(TaskListTable[[#This Row],[last_update]]&gt;VLOOKUP("LAST-MTG-DATE",DEF_Parameter!$A$3:$D$102,4,FALSE),"YES","")</f>
        <v/>
      </c>
      <c r="Q155"/>
      <c r="R155"/>
    </row>
    <row r="156" spans="1:18" x14ac:dyDescent="0.45">
      <c r="A156">
        <f t="shared" ref="A156:A187" si="4">A155+1</f>
        <v>98</v>
      </c>
      <c r="B156" t="str">
        <f>VLOOKUP("project_id",ProjectHeaderInfoTalbe[],2,FALSE)&amp;"-"&amp;"T"&amp;TEXT(TaskListTable[[#This Row],[no]],"000")</f>
        <v>PJ-CATEGORY-FY-SEQ-T098</v>
      </c>
      <c r="C156" s="8"/>
      <c r="D156" s="8"/>
      <c r="E156" s="8"/>
      <c r="F156" s="8"/>
      <c r="G156" s="9"/>
      <c r="H156" s="9"/>
      <c r="I156" s="8"/>
      <c r="J156" s="8"/>
      <c r="K156" s="8"/>
      <c r="L156" s="8"/>
      <c r="M156" s="9"/>
      <c r="N156" s="8"/>
      <c r="O156" s="8"/>
      <c r="P156" t="str">
        <f>IF(TaskListTable[[#This Row],[last_update]]&gt;VLOOKUP("LAST-MTG-DATE",DEF_Parameter!$A$3:$D$102,4,FALSE),"YES","")</f>
        <v/>
      </c>
      <c r="Q156"/>
      <c r="R156"/>
    </row>
    <row r="157" spans="1:18" x14ac:dyDescent="0.45">
      <c r="A157">
        <f t="shared" si="4"/>
        <v>99</v>
      </c>
      <c r="B157" t="str">
        <f>VLOOKUP("project_id",ProjectHeaderInfoTalbe[],2,FALSE)&amp;"-"&amp;"T"&amp;TEXT(TaskListTable[[#This Row],[no]],"000")</f>
        <v>PJ-CATEGORY-FY-SEQ-T099</v>
      </c>
      <c r="C157" s="8"/>
      <c r="D157" s="8"/>
      <c r="E157" s="8"/>
      <c r="F157" s="8"/>
      <c r="G157" s="9"/>
      <c r="H157" s="9"/>
      <c r="I157" s="8"/>
      <c r="J157" s="8"/>
      <c r="K157" s="8"/>
      <c r="L157" s="8"/>
      <c r="M157" s="9"/>
      <c r="N157" s="8"/>
      <c r="O157" s="8"/>
      <c r="P157" t="str">
        <f>IF(TaskListTable[[#This Row],[last_update]]&gt;VLOOKUP("LAST-MTG-DATE",DEF_Parameter!$A$3:$D$102,4,FALSE),"YES","")</f>
        <v/>
      </c>
      <c r="Q157"/>
      <c r="R157"/>
    </row>
    <row r="158" spans="1:18" x14ac:dyDescent="0.45">
      <c r="A158">
        <f t="shared" si="4"/>
        <v>100</v>
      </c>
      <c r="B158" t="str">
        <f>VLOOKUP("project_id",ProjectHeaderInfoTalbe[],2,FALSE)&amp;"-"&amp;"T"&amp;TEXT(TaskListTable[[#This Row],[no]],"000")</f>
        <v>PJ-CATEGORY-FY-SEQ-T100</v>
      </c>
      <c r="C158" s="8"/>
      <c r="D158" s="8"/>
      <c r="E158" s="8"/>
      <c r="F158" s="8"/>
      <c r="G158" s="9"/>
      <c r="H158" s="9"/>
      <c r="I158" s="8"/>
      <c r="J158" s="8"/>
      <c r="K158" s="8"/>
      <c r="L158" s="8"/>
      <c r="M158" s="9"/>
      <c r="N158" s="8"/>
      <c r="O158" s="8"/>
      <c r="P158" t="str">
        <f>IF(TaskListTable[[#This Row],[last_update]]&gt;VLOOKUP("LAST-MTG-DATE",DEF_Parameter!$A$3:$D$102,4,FALSE),"YES","")</f>
        <v/>
      </c>
      <c r="Q158"/>
      <c r="R158"/>
    </row>
    <row r="159" spans="1:18" x14ac:dyDescent="0.45">
      <c r="A159">
        <f t="shared" si="4"/>
        <v>101</v>
      </c>
      <c r="B159" t="str">
        <f>VLOOKUP("project_id",ProjectHeaderInfoTalbe[],2,FALSE)&amp;"-"&amp;"T"&amp;TEXT(TaskListTable[[#This Row],[no]],"000")</f>
        <v>PJ-CATEGORY-FY-SEQ-T101</v>
      </c>
      <c r="C159" s="8"/>
      <c r="D159" s="8"/>
      <c r="E159" s="8"/>
      <c r="F159" s="8"/>
      <c r="G159" s="9"/>
      <c r="H159" s="9"/>
      <c r="I159" s="8"/>
      <c r="J159" s="8"/>
      <c r="K159" s="8"/>
      <c r="L159" s="8"/>
      <c r="M159" s="9"/>
      <c r="N159" s="8"/>
      <c r="O159" s="8"/>
      <c r="P159" t="str">
        <f>IF(TaskListTable[[#This Row],[last_update]]&gt;VLOOKUP("LAST-MTG-DATE",DEF_Parameter!$A$3:$D$102,4,FALSE),"YES","")</f>
        <v/>
      </c>
      <c r="Q159"/>
      <c r="R159"/>
    </row>
    <row r="160" spans="1:18" x14ac:dyDescent="0.45">
      <c r="A160">
        <f t="shared" si="4"/>
        <v>102</v>
      </c>
      <c r="B160" t="str">
        <f>VLOOKUP("project_id",ProjectHeaderInfoTalbe[],2,FALSE)&amp;"-"&amp;"T"&amp;TEXT(TaskListTable[[#This Row],[no]],"000")</f>
        <v>PJ-CATEGORY-FY-SEQ-T102</v>
      </c>
      <c r="C160" s="8"/>
      <c r="D160" s="8"/>
      <c r="E160" s="8"/>
      <c r="F160" s="8"/>
      <c r="G160" s="9"/>
      <c r="H160" s="9"/>
      <c r="I160" s="8"/>
      <c r="J160" s="8"/>
      <c r="K160" s="8"/>
      <c r="L160" s="8"/>
      <c r="M160" s="9"/>
      <c r="N160" s="8"/>
      <c r="O160" s="8"/>
      <c r="P160" t="str">
        <f>IF(TaskListTable[[#This Row],[last_update]]&gt;VLOOKUP("LAST-MTG-DATE",DEF_Parameter!$A$3:$D$102,4,FALSE),"YES","")</f>
        <v/>
      </c>
      <c r="Q160"/>
      <c r="R160"/>
    </row>
    <row r="161" spans="1:18" x14ac:dyDescent="0.45">
      <c r="A161">
        <f t="shared" si="4"/>
        <v>103</v>
      </c>
      <c r="B161" t="str">
        <f>VLOOKUP("project_id",ProjectHeaderInfoTalbe[],2,FALSE)&amp;"-"&amp;"T"&amp;TEXT(TaskListTable[[#This Row],[no]],"000")</f>
        <v>PJ-CATEGORY-FY-SEQ-T103</v>
      </c>
      <c r="C161" s="8"/>
      <c r="D161" s="8"/>
      <c r="E161" s="8"/>
      <c r="F161" s="8"/>
      <c r="G161" s="9"/>
      <c r="H161" s="9"/>
      <c r="I161" s="8"/>
      <c r="J161" s="8"/>
      <c r="K161" s="8"/>
      <c r="L161" s="8"/>
      <c r="M161" s="9"/>
      <c r="N161" s="8"/>
      <c r="O161" s="8"/>
      <c r="P161" t="str">
        <f>IF(TaskListTable[[#This Row],[last_update]]&gt;VLOOKUP("LAST-MTG-DATE",DEF_Parameter!$A$3:$D$102,4,FALSE),"YES","")</f>
        <v/>
      </c>
      <c r="Q161"/>
      <c r="R161"/>
    </row>
    <row r="162" spans="1:18" x14ac:dyDescent="0.45">
      <c r="A162">
        <f t="shared" si="4"/>
        <v>104</v>
      </c>
      <c r="B162" t="str">
        <f>VLOOKUP("project_id",ProjectHeaderInfoTalbe[],2,FALSE)&amp;"-"&amp;"T"&amp;TEXT(TaskListTable[[#This Row],[no]],"000")</f>
        <v>PJ-CATEGORY-FY-SEQ-T104</v>
      </c>
      <c r="C162" s="8"/>
      <c r="D162" s="8"/>
      <c r="E162" s="8"/>
      <c r="F162" s="8"/>
      <c r="G162" s="9"/>
      <c r="H162" s="9"/>
      <c r="I162" s="8"/>
      <c r="J162" s="8"/>
      <c r="K162" s="8"/>
      <c r="L162" s="8"/>
      <c r="M162" s="9"/>
      <c r="N162" s="8"/>
      <c r="O162" s="8"/>
      <c r="P162" t="str">
        <f>IF(TaskListTable[[#This Row],[last_update]]&gt;VLOOKUP("LAST-MTG-DATE",DEF_Parameter!$A$3:$D$102,4,FALSE),"YES","")</f>
        <v/>
      </c>
      <c r="Q162"/>
      <c r="R162"/>
    </row>
    <row r="163" spans="1:18" x14ac:dyDescent="0.45">
      <c r="A163">
        <f t="shared" si="4"/>
        <v>105</v>
      </c>
      <c r="B163" t="str">
        <f>VLOOKUP("project_id",ProjectHeaderInfoTalbe[],2,FALSE)&amp;"-"&amp;"T"&amp;TEXT(TaskListTable[[#This Row],[no]],"000")</f>
        <v>PJ-CATEGORY-FY-SEQ-T105</v>
      </c>
      <c r="C163" s="8"/>
      <c r="D163" s="8"/>
      <c r="E163" s="8"/>
      <c r="F163" s="8"/>
      <c r="G163" s="9"/>
      <c r="H163" s="9"/>
      <c r="I163" s="8"/>
      <c r="J163" s="8"/>
      <c r="K163" s="8"/>
      <c r="L163" s="8"/>
      <c r="M163" s="9"/>
      <c r="N163" s="8"/>
      <c r="O163" s="8"/>
      <c r="P163" t="str">
        <f>IF(TaskListTable[[#This Row],[last_update]]&gt;VLOOKUP("LAST-MTG-DATE",DEF_Parameter!$A$3:$D$102,4,FALSE),"YES","")</f>
        <v/>
      </c>
      <c r="Q163"/>
      <c r="R163"/>
    </row>
    <row r="164" spans="1:18" x14ac:dyDescent="0.45">
      <c r="A164">
        <f t="shared" si="4"/>
        <v>106</v>
      </c>
      <c r="B164" t="str">
        <f>VLOOKUP("project_id",ProjectHeaderInfoTalbe[],2,FALSE)&amp;"-"&amp;"T"&amp;TEXT(TaskListTable[[#This Row],[no]],"000")</f>
        <v>PJ-CATEGORY-FY-SEQ-T106</v>
      </c>
      <c r="C164" s="8"/>
      <c r="D164" s="8"/>
      <c r="E164" s="8"/>
      <c r="F164" s="8"/>
      <c r="G164" s="9"/>
      <c r="H164" s="9"/>
      <c r="I164" s="8"/>
      <c r="J164" s="8"/>
      <c r="K164" s="8"/>
      <c r="L164" s="8"/>
      <c r="M164" s="9"/>
      <c r="N164" s="8"/>
      <c r="O164" s="8"/>
      <c r="P164" t="str">
        <f>IF(TaskListTable[[#This Row],[last_update]]&gt;VLOOKUP("LAST-MTG-DATE",DEF_Parameter!$A$3:$D$102,4,FALSE),"YES","")</f>
        <v/>
      </c>
      <c r="Q164"/>
      <c r="R164"/>
    </row>
    <row r="165" spans="1:18" x14ac:dyDescent="0.45">
      <c r="A165">
        <f t="shared" si="4"/>
        <v>107</v>
      </c>
      <c r="B165" t="str">
        <f>VLOOKUP("project_id",ProjectHeaderInfoTalbe[],2,FALSE)&amp;"-"&amp;"T"&amp;TEXT(TaskListTable[[#This Row],[no]],"000")</f>
        <v>PJ-CATEGORY-FY-SEQ-T107</v>
      </c>
      <c r="C165" s="8"/>
      <c r="D165" s="8"/>
      <c r="E165" s="8"/>
      <c r="F165" s="8"/>
      <c r="G165" s="9"/>
      <c r="H165" s="9"/>
      <c r="I165" s="8"/>
      <c r="J165" s="8"/>
      <c r="K165" s="8"/>
      <c r="L165" s="8"/>
      <c r="M165" s="9"/>
      <c r="N165" s="8"/>
      <c r="O165" s="8"/>
      <c r="P165" t="str">
        <f>IF(TaskListTable[[#This Row],[last_update]]&gt;VLOOKUP("LAST-MTG-DATE",DEF_Parameter!$A$3:$D$102,4,FALSE),"YES","")</f>
        <v/>
      </c>
      <c r="Q165"/>
      <c r="R165"/>
    </row>
    <row r="166" spans="1:18" x14ac:dyDescent="0.45">
      <c r="A166">
        <f t="shared" si="4"/>
        <v>108</v>
      </c>
      <c r="B166" t="str">
        <f>VLOOKUP("project_id",ProjectHeaderInfoTalbe[],2,FALSE)&amp;"-"&amp;"T"&amp;TEXT(TaskListTable[[#This Row],[no]],"000")</f>
        <v>PJ-CATEGORY-FY-SEQ-T108</v>
      </c>
      <c r="C166" s="8"/>
      <c r="D166" s="8"/>
      <c r="E166" s="8"/>
      <c r="F166" s="8"/>
      <c r="G166" s="9"/>
      <c r="H166" s="9"/>
      <c r="I166" s="8"/>
      <c r="J166" s="8"/>
      <c r="K166" s="8"/>
      <c r="L166" s="8"/>
      <c r="M166" s="9"/>
      <c r="N166" s="8"/>
      <c r="O166" s="8"/>
      <c r="P166" t="str">
        <f>IF(TaskListTable[[#This Row],[last_update]]&gt;VLOOKUP("LAST-MTG-DATE",DEF_Parameter!$A$3:$D$102,4,FALSE),"YES","")</f>
        <v/>
      </c>
      <c r="Q166"/>
      <c r="R166"/>
    </row>
    <row r="167" spans="1:18" x14ac:dyDescent="0.45">
      <c r="A167">
        <f t="shared" si="4"/>
        <v>109</v>
      </c>
      <c r="B167" t="str">
        <f>VLOOKUP("project_id",ProjectHeaderInfoTalbe[],2,FALSE)&amp;"-"&amp;"T"&amp;TEXT(TaskListTable[[#This Row],[no]],"000")</f>
        <v>PJ-CATEGORY-FY-SEQ-T109</v>
      </c>
      <c r="C167" s="8"/>
      <c r="D167" s="8"/>
      <c r="E167" s="8"/>
      <c r="F167" s="8"/>
      <c r="G167" s="9"/>
      <c r="H167" s="9"/>
      <c r="I167" s="8"/>
      <c r="J167" s="8"/>
      <c r="K167" s="8"/>
      <c r="L167" s="8"/>
      <c r="M167" s="9"/>
      <c r="N167" s="8"/>
      <c r="O167" s="8"/>
      <c r="P167" t="str">
        <f>IF(TaskListTable[[#This Row],[last_update]]&gt;VLOOKUP("LAST-MTG-DATE",DEF_Parameter!$A$3:$D$102,4,FALSE),"YES","")</f>
        <v/>
      </c>
      <c r="Q167"/>
      <c r="R167"/>
    </row>
    <row r="168" spans="1:18" x14ac:dyDescent="0.45">
      <c r="A168">
        <f t="shared" si="4"/>
        <v>110</v>
      </c>
      <c r="B168" t="str">
        <f>VLOOKUP("project_id",ProjectHeaderInfoTalbe[],2,FALSE)&amp;"-"&amp;"T"&amp;TEXT(TaskListTable[[#This Row],[no]],"000")</f>
        <v>PJ-CATEGORY-FY-SEQ-T110</v>
      </c>
      <c r="C168" s="8"/>
      <c r="D168" s="8"/>
      <c r="E168" s="8"/>
      <c r="F168" s="8"/>
      <c r="G168" s="9"/>
      <c r="H168" s="9"/>
      <c r="I168" s="8"/>
      <c r="J168" s="8"/>
      <c r="K168" s="8"/>
      <c r="L168" s="8"/>
      <c r="M168" s="9"/>
      <c r="N168" s="8"/>
      <c r="O168" s="8"/>
      <c r="P168" t="str">
        <f>IF(TaskListTable[[#This Row],[last_update]]&gt;VLOOKUP("LAST-MTG-DATE",DEF_Parameter!$A$3:$D$102,4,FALSE),"YES","")</f>
        <v/>
      </c>
      <c r="Q168"/>
      <c r="R168"/>
    </row>
    <row r="169" spans="1:18" x14ac:dyDescent="0.45">
      <c r="A169">
        <f t="shared" si="4"/>
        <v>111</v>
      </c>
      <c r="B169" t="str">
        <f>VLOOKUP("project_id",ProjectHeaderInfoTalbe[],2,FALSE)&amp;"-"&amp;"T"&amp;TEXT(TaskListTable[[#This Row],[no]],"000")</f>
        <v>PJ-CATEGORY-FY-SEQ-T111</v>
      </c>
      <c r="C169" s="8"/>
      <c r="D169" s="8"/>
      <c r="E169" s="8"/>
      <c r="F169" s="8"/>
      <c r="G169" s="9"/>
      <c r="H169" s="9"/>
      <c r="I169" s="8"/>
      <c r="J169" s="8"/>
      <c r="K169" s="8"/>
      <c r="L169" s="8"/>
      <c r="M169" s="9"/>
      <c r="N169" s="8"/>
      <c r="O169" s="8"/>
      <c r="P169" t="str">
        <f>IF(TaskListTable[[#This Row],[last_update]]&gt;VLOOKUP("LAST-MTG-DATE",DEF_Parameter!$A$3:$D$102,4,FALSE),"YES","")</f>
        <v/>
      </c>
      <c r="Q169"/>
      <c r="R169"/>
    </row>
    <row r="170" spans="1:18" x14ac:dyDescent="0.45">
      <c r="A170">
        <f t="shared" si="4"/>
        <v>112</v>
      </c>
      <c r="B170" t="str">
        <f>VLOOKUP("project_id",ProjectHeaderInfoTalbe[],2,FALSE)&amp;"-"&amp;"T"&amp;TEXT(TaskListTable[[#This Row],[no]],"000")</f>
        <v>PJ-CATEGORY-FY-SEQ-T112</v>
      </c>
      <c r="C170" s="8"/>
      <c r="D170" s="8"/>
      <c r="E170" s="8"/>
      <c r="F170" s="8"/>
      <c r="G170" s="9"/>
      <c r="H170" s="9"/>
      <c r="I170" s="8"/>
      <c r="J170" s="8"/>
      <c r="K170" s="8"/>
      <c r="L170" s="8"/>
      <c r="M170" s="9"/>
      <c r="N170" s="8"/>
      <c r="O170" s="8"/>
      <c r="P170" t="str">
        <f>IF(TaskListTable[[#This Row],[last_update]]&gt;VLOOKUP("LAST-MTG-DATE",DEF_Parameter!$A$3:$D$102,4,FALSE),"YES","")</f>
        <v/>
      </c>
      <c r="Q170"/>
      <c r="R170"/>
    </row>
    <row r="171" spans="1:18" x14ac:dyDescent="0.45">
      <c r="A171">
        <f t="shared" si="4"/>
        <v>113</v>
      </c>
      <c r="B171" t="str">
        <f>VLOOKUP("project_id",ProjectHeaderInfoTalbe[],2,FALSE)&amp;"-"&amp;"T"&amp;TEXT(TaskListTable[[#This Row],[no]],"000")</f>
        <v>PJ-CATEGORY-FY-SEQ-T113</v>
      </c>
      <c r="C171" s="8"/>
      <c r="D171" s="8"/>
      <c r="E171" s="8"/>
      <c r="F171" s="8"/>
      <c r="G171" s="9"/>
      <c r="H171" s="9"/>
      <c r="I171" s="8"/>
      <c r="J171" s="8"/>
      <c r="K171" s="8"/>
      <c r="L171" s="8"/>
      <c r="M171" s="9"/>
      <c r="N171" s="8"/>
      <c r="O171" s="8"/>
      <c r="P171" t="str">
        <f>IF(TaskListTable[[#This Row],[last_update]]&gt;VLOOKUP("LAST-MTG-DATE",DEF_Parameter!$A$3:$D$102,4,FALSE),"YES","")</f>
        <v/>
      </c>
      <c r="Q171"/>
      <c r="R171"/>
    </row>
    <row r="172" spans="1:18" x14ac:dyDescent="0.45">
      <c r="A172">
        <f t="shared" si="4"/>
        <v>114</v>
      </c>
      <c r="B172" t="str">
        <f>VLOOKUP("project_id",ProjectHeaderInfoTalbe[],2,FALSE)&amp;"-"&amp;"T"&amp;TEXT(TaskListTable[[#This Row],[no]],"000")</f>
        <v>PJ-CATEGORY-FY-SEQ-T114</v>
      </c>
      <c r="C172" s="8"/>
      <c r="D172" s="8"/>
      <c r="E172" s="8"/>
      <c r="F172" s="8"/>
      <c r="G172" s="9"/>
      <c r="H172" s="9"/>
      <c r="I172" s="8"/>
      <c r="J172" s="8"/>
      <c r="K172" s="8"/>
      <c r="L172" s="8"/>
      <c r="M172" s="9"/>
      <c r="N172" s="8"/>
      <c r="O172" s="8"/>
      <c r="P172" t="str">
        <f>IF(TaskListTable[[#This Row],[last_update]]&gt;VLOOKUP("LAST-MTG-DATE",DEF_Parameter!$A$3:$D$102,4,FALSE),"YES","")</f>
        <v/>
      </c>
      <c r="Q172"/>
      <c r="R172"/>
    </row>
    <row r="173" spans="1:18" x14ac:dyDescent="0.45">
      <c r="A173">
        <f t="shared" si="4"/>
        <v>115</v>
      </c>
      <c r="B173" t="str">
        <f>VLOOKUP("project_id",ProjectHeaderInfoTalbe[],2,FALSE)&amp;"-"&amp;"T"&amp;TEXT(TaskListTable[[#This Row],[no]],"000")</f>
        <v>PJ-CATEGORY-FY-SEQ-T115</v>
      </c>
      <c r="C173" s="8"/>
      <c r="D173" s="8"/>
      <c r="E173" s="8"/>
      <c r="F173" s="8"/>
      <c r="G173" s="9"/>
      <c r="H173" s="9"/>
      <c r="I173" s="8"/>
      <c r="J173" s="8"/>
      <c r="K173" s="8"/>
      <c r="L173" s="8"/>
      <c r="M173" s="9"/>
      <c r="N173" s="8"/>
      <c r="O173" s="8"/>
      <c r="P173" t="str">
        <f>IF(TaskListTable[[#This Row],[last_update]]&gt;VLOOKUP("LAST-MTG-DATE",DEF_Parameter!$A$3:$D$102,4,FALSE),"YES","")</f>
        <v/>
      </c>
      <c r="Q173"/>
      <c r="R173"/>
    </row>
    <row r="174" spans="1:18" x14ac:dyDescent="0.45">
      <c r="A174">
        <f t="shared" si="4"/>
        <v>116</v>
      </c>
      <c r="B174" t="str">
        <f>VLOOKUP("project_id",ProjectHeaderInfoTalbe[],2,FALSE)&amp;"-"&amp;"T"&amp;TEXT(TaskListTable[[#This Row],[no]],"000")</f>
        <v>PJ-CATEGORY-FY-SEQ-T116</v>
      </c>
      <c r="C174" s="8"/>
      <c r="D174" s="8"/>
      <c r="E174" s="8"/>
      <c r="F174" s="8"/>
      <c r="G174" s="9"/>
      <c r="H174" s="9"/>
      <c r="I174" s="8"/>
      <c r="J174" s="8"/>
      <c r="K174" s="8"/>
      <c r="L174" s="8"/>
      <c r="M174" s="9"/>
      <c r="N174" s="8"/>
      <c r="O174" s="8"/>
      <c r="P174" t="str">
        <f>IF(TaskListTable[[#This Row],[last_update]]&gt;VLOOKUP("LAST-MTG-DATE",DEF_Parameter!$A$3:$D$102,4,FALSE),"YES","")</f>
        <v/>
      </c>
      <c r="Q174"/>
      <c r="R174"/>
    </row>
    <row r="175" spans="1:18" x14ac:dyDescent="0.45">
      <c r="A175">
        <f t="shared" si="4"/>
        <v>117</v>
      </c>
      <c r="B175" t="str">
        <f>VLOOKUP("project_id",ProjectHeaderInfoTalbe[],2,FALSE)&amp;"-"&amp;"T"&amp;TEXT(TaskListTable[[#This Row],[no]],"000")</f>
        <v>PJ-CATEGORY-FY-SEQ-T117</v>
      </c>
      <c r="C175" s="8"/>
      <c r="D175" s="8"/>
      <c r="E175" s="8"/>
      <c r="F175" s="8"/>
      <c r="G175" s="9"/>
      <c r="H175" s="9"/>
      <c r="I175" s="8"/>
      <c r="J175" s="8"/>
      <c r="K175" s="8"/>
      <c r="L175" s="8"/>
      <c r="M175" s="9"/>
      <c r="N175" s="8"/>
      <c r="O175" s="8"/>
      <c r="P175" t="str">
        <f>IF(TaskListTable[[#This Row],[last_update]]&gt;VLOOKUP("LAST-MTG-DATE",DEF_Parameter!$A$3:$D$102,4,FALSE),"YES","")</f>
        <v/>
      </c>
      <c r="Q175"/>
      <c r="R175"/>
    </row>
    <row r="176" spans="1:18" x14ac:dyDescent="0.45">
      <c r="A176">
        <f t="shared" si="4"/>
        <v>118</v>
      </c>
      <c r="B176" t="str">
        <f>VLOOKUP("project_id",ProjectHeaderInfoTalbe[],2,FALSE)&amp;"-"&amp;"T"&amp;TEXT(TaskListTable[[#This Row],[no]],"000")</f>
        <v>PJ-CATEGORY-FY-SEQ-T118</v>
      </c>
      <c r="C176" s="8"/>
      <c r="D176" s="8"/>
      <c r="E176" s="8"/>
      <c r="F176" s="8"/>
      <c r="G176" s="9"/>
      <c r="H176" s="9"/>
      <c r="I176" s="8"/>
      <c r="J176" s="8"/>
      <c r="K176" s="8"/>
      <c r="L176" s="8"/>
      <c r="M176" s="9"/>
      <c r="N176" s="8"/>
      <c r="O176" s="8"/>
      <c r="P176" t="str">
        <f>IF(TaskListTable[[#This Row],[last_update]]&gt;VLOOKUP("LAST-MTG-DATE",DEF_Parameter!$A$3:$D$102,4,FALSE),"YES","")</f>
        <v/>
      </c>
      <c r="Q176"/>
      <c r="R176"/>
    </row>
    <row r="177" spans="1:18" x14ac:dyDescent="0.45">
      <c r="A177">
        <f t="shared" si="4"/>
        <v>119</v>
      </c>
      <c r="B177" t="str">
        <f>VLOOKUP("project_id",ProjectHeaderInfoTalbe[],2,FALSE)&amp;"-"&amp;"T"&amp;TEXT(TaskListTable[[#This Row],[no]],"000")</f>
        <v>PJ-CATEGORY-FY-SEQ-T119</v>
      </c>
      <c r="C177" s="8"/>
      <c r="D177" s="8"/>
      <c r="E177" s="8"/>
      <c r="F177" s="8"/>
      <c r="G177" s="9"/>
      <c r="H177" s="9"/>
      <c r="I177" s="8"/>
      <c r="J177" s="8"/>
      <c r="K177" s="8"/>
      <c r="L177" s="8"/>
      <c r="M177" s="9"/>
      <c r="N177" s="8"/>
      <c r="O177" s="8"/>
      <c r="P177" t="str">
        <f>IF(TaskListTable[[#This Row],[last_update]]&gt;VLOOKUP("LAST-MTG-DATE",DEF_Parameter!$A$3:$D$102,4,FALSE),"YES","")</f>
        <v/>
      </c>
      <c r="Q177"/>
      <c r="R177"/>
    </row>
    <row r="178" spans="1:18" x14ac:dyDescent="0.45">
      <c r="A178">
        <f t="shared" si="4"/>
        <v>120</v>
      </c>
      <c r="B178" t="str">
        <f>VLOOKUP("project_id",ProjectHeaderInfoTalbe[],2,FALSE)&amp;"-"&amp;"T"&amp;TEXT(TaskListTable[[#This Row],[no]],"000")</f>
        <v>PJ-CATEGORY-FY-SEQ-T120</v>
      </c>
      <c r="C178" s="8"/>
      <c r="D178" s="8"/>
      <c r="E178" s="8"/>
      <c r="F178" s="8"/>
      <c r="G178" s="9"/>
      <c r="H178" s="9"/>
      <c r="I178" s="8"/>
      <c r="J178" s="8"/>
      <c r="K178" s="8"/>
      <c r="L178" s="8"/>
      <c r="M178" s="9"/>
      <c r="N178" s="8"/>
      <c r="O178" s="8"/>
      <c r="P178" t="str">
        <f>IF(TaskListTable[[#This Row],[last_update]]&gt;VLOOKUP("LAST-MTG-DATE",DEF_Parameter!$A$3:$D$102,4,FALSE),"YES","")</f>
        <v/>
      </c>
      <c r="Q178"/>
      <c r="R178"/>
    </row>
    <row r="179" spans="1:18" x14ac:dyDescent="0.45">
      <c r="A179">
        <f t="shared" si="4"/>
        <v>121</v>
      </c>
      <c r="B179" t="str">
        <f>VLOOKUP("project_id",ProjectHeaderInfoTalbe[],2,FALSE)&amp;"-"&amp;"T"&amp;TEXT(TaskListTable[[#This Row],[no]],"000")</f>
        <v>PJ-CATEGORY-FY-SEQ-T121</v>
      </c>
      <c r="C179" s="8"/>
      <c r="D179" s="8"/>
      <c r="E179" s="8"/>
      <c r="F179" s="8"/>
      <c r="G179" s="9"/>
      <c r="H179" s="9"/>
      <c r="I179" s="8"/>
      <c r="J179" s="8"/>
      <c r="K179" s="8"/>
      <c r="L179" s="8"/>
      <c r="M179" s="9"/>
      <c r="N179" s="8"/>
      <c r="O179" s="8"/>
      <c r="P179" t="str">
        <f>IF(TaskListTable[[#This Row],[last_update]]&gt;VLOOKUP("LAST-MTG-DATE",DEF_Parameter!$A$3:$D$102,4,FALSE),"YES","")</f>
        <v/>
      </c>
      <c r="Q179"/>
      <c r="R179"/>
    </row>
    <row r="180" spans="1:18" x14ac:dyDescent="0.45">
      <c r="A180">
        <f t="shared" si="4"/>
        <v>122</v>
      </c>
      <c r="B180" t="str">
        <f>VLOOKUP("project_id",ProjectHeaderInfoTalbe[],2,FALSE)&amp;"-"&amp;"T"&amp;TEXT(TaskListTable[[#This Row],[no]],"000")</f>
        <v>PJ-CATEGORY-FY-SEQ-T122</v>
      </c>
      <c r="C180" s="8"/>
      <c r="D180" s="8"/>
      <c r="E180" s="8"/>
      <c r="F180" s="8"/>
      <c r="G180" s="9"/>
      <c r="H180" s="9"/>
      <c r="I180" s="8"/>
      <c r="J180" s="8"/>
      <c r="K180" s="8"/>
      <c r="L180" s="8"/>
      <c r="M180" s="9"/>
      <c r="N180" s="8"/>
      <c r="O180" s="8"/>
      <c r="P180" t="str">
        <f>IF(TaskListTable[[#This Row],[last_update]]&gt;VLOOKUP("LAST-MTG-DATE",DEF_Parameter!$A$3:$D$102,4,FALSE),"YES","")</f>
        <v/>
      </c>
      <c r="Q180"/>
      <c r="R180"/>
    </row>
    <row r="181" spans="1:18" x14ac:dyDescent="0.45">
      <c r="A181">
        <f t="shared" si="4"/>
        <v>123</v>
      </c>
      <c r="B181" t="str">
        <f>VLOOKUP("project_id",ProjectHeaderInfoTalbe[],2,FALSE)&amp;"-"&amp;"T"&amp;TEXT(TaskListTable[[#This Row],[no]],"000")</f>
        <v>PJ-CATEGORY-FY-SEQ-T123</v>
      </c>
      <c r="C181" s="8"/>
      <c r="D181" s="8"/>
      <c r="E181" s="8"/>
      <c r="F181" s="8"/>
      <c r="G181" s="9"/>
      <c r="H181" s="9"/>
      <c r="I181" s="8"/>
      <c r="J181" s="8"/>
      <c r="K181" s="8"/>
      <c r="L181" s="8"/>
      <c r="M181" s="9"/>
      <c r="N181" s="8"/>
      <c r="O181" s="8"/>
      <c r="P181" t="str">
        <f>IF(TaskListTable[[#This Row],[last_update]]&gt;VLOOKUP("LAST-MTG-DATE",DEF_Parameter!$A$3:$D$102,4,FALSE),"YES","")</f>
        <v/>
      </c>
      <c r="Q181"/>
      <c r="R181"/>
    </row>
    <row r="182" spans="1:18" x14ac:dyDescent="0.45">
      <c r="A182">
        <f t="shared" si="4"/>
        <v>124</v>
      </c>
      <c r="B182" t="str">
        <f>VLOOKUP("project_id",ProjectHeaderInfoTalbe[],2,FALSE)&amp;"-"&amp;"T"&amp;TEXT(TaskListTable[[#This Row],[no]],"000")</f>
        <v>PJ-CATEGORY-FY-SEQ-T124</v>
      </c>
      <c r="C182" s="8"/>
      <c r="D182" s="8"/>
      <c r="E182" s="8"/>
      <c r="F182" s="8"/>
      <c r="G182" s="9"/>
      <c r="H182" s="9"/>
      <c r="I182" s="8"/>
      <c r="J182" s="8"/>
      <c r="K182" s="8"/>
      <c r="L182" s="8"/>
      <c r="M182" s="9"/>
      <c r="N182" s="8"/>
      <c r="O182" s="8"/>
      <c r="P182" t="str">
        <f>IF(TaskListTable[[#This Row],[last_update]]&gt;VLOOKUP("LAST-MTG-DATE",DEF_Parameter!$A$3:$D$102,4,FALSE),"YES","")</f>
        <v/>
      </c>
      <c r="Q182"/>
      <c r="R182"/>
    </row>
    <row r="183" spans="1:18" x14ac:dyDescent="0.45">
      <c r="A183">
        <f t="shared" si="4"/>
        <v>125</v>
      </c>
      <c r="B183" t="str">
        <f>VLOOKUP("project_id",ProjectHeaderInfoTalbe[],2,FALSE)&amp;"-"&amp;"T"&amp;TEXT(TaskListTable[[#This Row],[no]],"000")</f>
        <v>PJ-CATEGORY-FY-SEQ-T125</v>
      </c>
      <c r="C183" s="8"/>
      <c r="D183" s="8"/>
      <c r="E183" s="8"/>
      <c r="F183" s="8"/>
      <c r="G183" s="9"/>
      <c r="H183" s="9"/>
      <c r="I183" s="8"/>
      <c r="J183" s="8"/>
      <c r="K183" s="8"/>
      <c r="L183" s="8"/>
      <c r="M183" s="9"/>
      <c r="N183" s="8"/>
      <c r="O183" s="8"/>
      <c r="P183" t="str">
        <f>IF(TaskListTable[[#This Row],[last_update]]&gt;VLOOKUP("LAST-MTG-DATE",DEF_Parameter!$A$3:$D$102,4,FALSE),"YES","")</f>
        <v/>
      </c>
      <c r="Q183"/>
      <c r="R183"/>
    </row>
    <row r="184" spans="1:18" x14ac:dyDescent="0.45">
      <c r="A184">
        <f t="shared" si="4"/>
        <v>126</v>
      </c>
      <c r="B184" t="str">
        <f>VLOOKUP("project_id",ProjectHeaderInfoTalbe[],2,FALSE)&amp;"-"&amp;"T"&amp;TEXT(TaskListTable[[#This Row],[no]],"000")</f>
        <v>PJ-CATEGORY-FY-SEQ-T126</v>
      </c>
      <c r="C184" s="8"/>
      <c r="D184" s="8"/>
      <c r="E184" s="8"/>
      <c r="F184" s="8"/>
      <c r="G184" s="9"/>
      <c r="H184" s="9"/>
      <c r="I184" s="8"/>
      <c r="J184" s="8"/>
      <c r="K184" s="8"/>
      <c r="L184" s="8"/>
      <c r="M184" s="9"/>
      <c r="N184" s="8"/>
      <c r="O184" s="8"/>
      <c r="P184" t="str">
        <f>IF(TaskListTable[[#This Row],[last_update]]&gt;VLOOKUP("LAST-MTG-DATE",DEF_Parameter!$A$3:$D$102,4,FALSE),"YES","")</f>
        <v/>
      </c>
      <c r="Q184"/>
      <c r="R184"/>
    </row>
    <row r="185" spans="1:18" x14ac:dyDescent="0.45">
      <c r="A185">
        <f t="shared" si="4"/>
        <v>127</v>
      </c>
      <c r="B185" t="str">
        <f>VLOOKUP("project_id",ProjectHeaderInfoTalbe[],2,FALSE)&amp;"-"&amp;"T"&amp;TEXT(TaskListTable[[#This Row],[no]],"000")</f>
        <v>PJ-CATEGORY-FY-SEQ-T127</v>
      </c>
      <c r="C185" s="8"/>
      <c r="D185" s="8"/>
      <c r="E185" s="8"/>
      <c r="F185" s="8"/>
      <c r="G185" s="9"/>
      <c r="H185" s="9"/>
      <c r="I185" s="8"/>
      <c r="J185" s="8"/>
      <c r="K185" s="8"/>
      <c r="L185" s="8"/>
      <c r="M185" s="9"/>
      <c r="N185" s="8"/>
      <c r="O185" s="8"/>
      <c r="P185" t="str">
        <f>IF(TaskListTable[[#This Row],[last_update]]&gt;VLOOKUP("LAST-MTG-DATE",DEF_Parameter!$A$3:$D$102,4,FALSE),"YES","")</f>
        <v/>
      </c>
      <c r="Q185"/>
      <c r="R185"/>
    </row>
    <row r="186" spans="1:18" x14ac:dyDescent="0.45">
      <c r="A186">
        <f t="shared" si="4"/>
        <v>128</v>
      </c>
      <c r="B186" t="str">
        <f>VLOOKUP("project_id",ProjectHeaderInfoTalbe[],2,FALSE)&amp;"-"&amp;"T"&amp;TEXT(TaskListTable[[#This Row],[no]],"000")</f>
        <v>PJ-CATEGORY-FY-SEQ-T128</v>
      </c>
      <c r="C186" s="8"/>
      <c r="D186" s="8"/>
      <c r="E186" s="8"/>
      <c r="F186" s="8"/>
      <c r="G186" s="9"/>
      <c r="H186" s="9"/>
      <c r="I186" s="8"/>
      <c r="J186" s="8"/>
      <c r="K186" s="8"/>
      <c r="L186" s="8"/>
      <c r="M186" s="9"/>
      <c r="N186" s="8"/>
      <c r="O186" s="8"/>
      <c r="P186" t="str">
        <f>IF(TaskListTable[[#This Row],[last_update]]&gt;VLOOKUP("LAST-MTG-DATE",DEF_Parameter!$A$3:$D$102,4,FALSE),"YES","")</f>
        <v/>
      </c>
      <c r="Q186"/>
      <c r="R186"/>
    </row>
    <row r="187" spans="1:18" x14ac:dyDescent="0.45">
      <c r="A187">
        <f t="shared" si="4"/>
        <v>129</v>
      </c>
      <c r="B187" t="str">
        <f>VLOOKUP("project_id",ProjectHeaderInfoTalbe[],2,FALSE)&amp;"-"&amp;"T"&amp;TEXT(TaskListTable[[#This Row],[no]],"000")</f>
        <v>PJ-CATEGORY-FY-SEQ-T129</v>
      </c>
      <c r="C187" s="8"/>
      <c r="D187" s="8"/>
      <c r="E187" s="8"/>
      <c r="F187" s="8"/>
      <c r="G187" s="9"/>
      <c r="H187" s="9"/>
      <c r="I187" s="8"/>
      <c r="J187" s="8"/>
      <c r="K187" s="8"/>
      <c r="L187" s="8"/>
      <c r="M187" s="9"/>
      <c r="N187" s="8"/>
      <c r="O187" s="8"/>
      <c r="P187" t="str">
        <f>IF(TaskListTable[[#This Row],[last_update]]&gt;VLOOKUP("LAST-MTG-DATE",DEF_Parameter!$A$3:$D$102,4,FALSE),"YES","")</f>
        <v/>
      </c>
      <c r="Q187"/>
      <c r="R187"/>
    </row>
    <row r="188" spans="1:18" x14ac:dyDescent="0.45">
      <c r="A188">
        <f t="shared" ref="A188:A219" si="5">A187+1</f>
        <v>130</v>
      </c>
      <c r="B188" t="str">
        <f>VLOOKUP("project_id",ProjectHeaderInfoTalbe[],2,FALSE)&amp;"-"&amp;"T"&amp;TEXT(TaskListTable[[#This Row],[no]],"000")</f>
        <v>PJ-CATEGORY-FY-SEQ-T130</v>
      </c>
      <c r="C188" s="8"/>
      <c r="D188" s="8"/>
      <c r="E188" s="8"/>
      <c r="F188" s="8"/>
      <c r="G188" s="9"/>
      <c r="H188" s="9"/>
      <c r="I188" s="8"/>
      <c r="J188" s="8"/>
      <c r="K188" s="8"/>
      <c r="L188" s="8"/>
      <c r="M188" s="9"/>
      <c r="N188" s="8"/>
      <c r="O188" s="8"/>
      <c r="P188" t="str">
        <f>IF(TaskListTable[[#This Row],[last_update]]&gt;VLOOKUP("LAST-MTG-DATE",DEF_Parameter!$A$3:$D$102,4,FALSE),"YES","")</f>
        <v/>
      </c>
      <c r="Q188"/>
      <c r="R188"/>
    </row>
    <row r="189" spans="1:18" x14ac:dyDescent="0.45">
      <c r="A189">
        <f t="shared" si="5"/>
        <v>131</v>
      </c>
      <c r="B189" t="str">
        <f>VLOOKUP("project_id",ProjectHeaderInfoTalbe[],2,FALSE)&amp;"-"&amp;"T"&amp;TEXT(TaskListTable[[#This Row],[no]],"000")</f>
        <v>PJ-CATEGORY-FY-SEQ-T131</v>
      </c>
      <c r="C189" s="8"/>
      <c r="D189" s="8"/>
      <c r="E189" s="8"/>
      <c r="F189" s="8"/>
      <c r="G189" s="9"/>
      <c r="H189" s="9"/>
      <c r="I189" s="8"/>
      <c r="J189" s="8"/>
      <c r="K189" s="8"/>
      <c r="L189" s="8"/>
      <c r="M189" s="9"/>
      <c r="N189" s="8"/>
      <c r="O189" s="8"/>
      <c r="P189" t="str">
        <f>IF(TaskListTable[[#This Row],[last_update]]&gt;VLOOKUP("LAST-MTG-DATE",DEF_Parameter!$A$3:$D$102,4,FALSE),"YES","")</f>
        <v/>
      </c>
      <c r="Q189"/>
      <c r="R189"/>
    </row>
    <row r="190" spans="1:18" x14ac:dyDescent="0.45">
      <c r="A190">
        <f t="shared" si="5"/>
        <v>132</v>
      </c>
      <c r="B190" t="str">
        <f>VLOOKUP("project_id",ProjectHeaderInfoTalbe[],2,FALSE)&amp;"-"&amp;"T"&amp;TEXT(TaskListTable[[#This Row],[no]],"000")</f>
        <v>PJ-CATEGORY-FY-SEQ-T132</v>
      </c>
      <c r="C190" s="8"/>
      <c r="D190" s="8"/>
      <c r="E190" s="8"/>
      <c r="F190" s="8"/>
      <c r="G190" s="9"/>
      <c r="H190" s="9"/>
      <c r="I190" s="8"/>
      <c r="J190" s="8"/>
      <c r="K190" s="8"/>
      <c r="L190" s="8"/>
      <c r="M190" s="9"/>
      <c r="N190" s="8"/>
      <c r="O190" s="8"/>
      <c r="P190" t="str">
        <f>IF(TaskListTable[[#This Row],[last_update]]&gt;VLOOKUP("LAST-MTG-DATE",DEF_Parameter!$A$3:$D$102,4,FALSE),"YES","")</f>
        <v/>
      </c>
      <c r="Q190"/>
      <c r="R190"/>
    </row>
    <row r="191" spans="1:18" x14ac:dyDescent="0.45">
      <c r="A191">
        <f t="shared" si="5"/>
        <v>133</v>
      </c>
      <c r="B191" t="str">
        <f>VLOOKUP("project_id",ProjectHeaderInfoTalbe[],2,FALSE)&amp;"-"&amp;"T"&amp;TEXT(TaskListTable[[#This Row],[no]],"000")</f>
        <v>PJ-CATEGORY-FY-SEQ-T133</v>
      </c>
      <c r="C191" s="8"/>
      <c r="D191" s="8"/>
      <c r="E191" s="8"/>
      <c r="F191" s="8"/>
      <c r="G191" s="9"/>
      <c r="H191" s="9"/>
      <c r="I191" s="8"/>
      <c r="J191" s="8"/>
      <c r="K191" s="8"/>
      <c r="L191" s="8"/>
      <c r="M191" s="9"/>
      <c r="N191" s="8"/>
      <c r="O191" s="8"/>
      <c r="P191" t="str">
        <f>IF(TaskListTable[[#This Row],[last_update]]&gt;VLOOKUP("LAST-MTG-DATE",DEF_Parameter!$A$3:$D$102,4,FALSE),"YES","")</f>
        <v/>
      </c>
      <c r="Q191"/>
      <c r="R191"/>
    </row>
    <row r="192" spans="1:18" x14ac:dyDescent="0.45">
      <c r="A192">
        <f t="shared" si="5"/>
        <v>134</v>
      </c>
      <c r="B192" t="str">
        <f>VLOOKUP("project_id",ProjectHeaderInfoTalbe[],2,FALSE)&amp;"-"&amp;"T"&amp;TEXT(TaskListTable[[#This Row],[no]],"000")</f>
        <v>PJ-CATEGORY-FY-SEQ-T134</v>
      </c>
      <c r="C192" s="8"/>
      <c r="D192" s="8"/>
      <c r="E192" s="8"/>
      <c r="F192" s="8"/>
      <c r="G192" s="9"/>
      <c r="H192" s="9"/>
      <c r="I192" s="8"/>
      <c r="J192" s="8"/>
      <c r="K192" s="8"/>
      <c r="L192" s="8"/>
      <c r="M192" s="9"/>
      <c r="N192" s="8"/>
      <c r="O192" s="8"/>
      <c r="P192" t="str">
        <f>IF(TaskListTable[[#This Row],[last_update]]&gt;VLOOKUP("LAST-MTG-DATE",DEF_Parameter!$A$3:$D$102,4,FALSE),"YES","")</f>
        <v/>
      </c>
      <c r="Q192"/>
      <c r="R192"/>
    </row>
    <row r="193" spans="1:18" x14ac:dyDescent="0.45">
      <c r="A193">
        <f t="shared" si="5"/>
        <v>135</v>
      </c>
      <c r="B193" t="str">
        <f>VLOOKUP("project_id",ProjectHeaderInfoTalbe[],2,FALSE)&amp;"-"&amp;"T"&amp;TEXT(TaskListTable[[#This Row],[no]],"000")</f>
        <v>PJ-CATEGORY-FY-SEQ-T135</v>
      </c>
      <c r="C193" s="8"/>
      <c r="D193" s="8"/>
      <c r="E193" s="8"/>
      <c r="F193" s="8"/>
      <c r="G193" s="9"/>
      <c r="H193" s="9"/>
      <c r="I193" s="8"/>
      <c r="J193" s="8"/>
      <c r="K193" s="8"/>
      <c r="L193" s="8"/>
      <c r="M193" s="9"/>
      <c r="N193" s="8"/>
      <c r="O193" s="8"/>
      <c r="P193" t="str">
        <f>IF(TaskListTable[[#This Row],[last_update]]&gt;VLOOKUP("LAST-MTG-DATE",DEF_Parameter!$A$3:$D$102,4,FALSE),"YES","")</f>
        <v/>
      </c>
      <c r="Q193"/>
      <c r="R193"/>
    </row>
    <row r="194" spans="1:18" x14ac:dyDescent="0.45">
      <c r="A194">
        <f t="shared" si="5"/>
        <v>136</v>
      </c>
      <c r="B194" t="str">
        <f>VLOOKUP("project_id",ProjectHeaderInfoTalbe[],2,FALSE)&amp;"-"&amp;"T"&amp;TEXT(TaskListTable[[#This Row],[no]],"000")</f>
        <v>PJ-CATEGORY-FY-SEQ-T136</v>
      </c>
      <c r="C194" s="8"/>
      <c r="D194" s="8"/>
      <c r="E194" s="8"/>
      <c r="F194" s="8"/>
      <c r="G194" s="9"/>
      <c r="H194" s="9"/>
      <c r="I194" s="8"/>
      <c r="J194" s="8"/>
      <c r="K194" s="8"/>
      <c r="L194" s="8"/>
      <c r="M194" s="9"/>
      <c r="N194" s="8"/>
      <c r="O194" s="8"/>
      <c r="P194" t="str">
        <f>IF(TaskListTable[[#This Row],[last_update]]&gt;VLOOKUP("LAST-MTG-DATE",DEF_Parameter!$A$3:$D$102,4,FALSE),"YES","")</f>
        <v/>
      </c>
      <c r="Q194"/>
      <c r="R194"/>
    </row>
    <row r="195" spans="1:18" x14ac:dyDescent="0.45">
      <c r="A195">
        <f t="shared" si="5"/>
        <v>137</v>
      </c>
      <c r="B195" t="str">
        <f>VLOOKUP("project_id",ProjectHeaderInfoTalbe[],2,FALSE)&amp;"-"&amp;"T"&amp;TEXT(TaskListTable[[#This Row],[no]],"000")</f>
        <v>PJ-CATEGORY-FY-SEQ-T137</v>
      </c>
      <c r="C195" s="8"/>
      <c r="D195" s="8"/>
      <c r="E195" s="8"/>
      <c r="F195" s="8"/>
      <c r="G195" s="9"/>
      <c r="H195" s="9"/>
      <c r="I195" s="8"/>
      <c r="J195" s="8"/>
      <c r="K195" s="8"/>
      <c r="L195" s="8"/>
      <c r="M195" s="9"/>
      <c r="N195" s="8"/>
      <c r="O195" s="8"/>
      <c r="P195" t="str">
        <f>IF(TaskListTable[[#This Row],[last_update]]&gt;VLOOKUP("LAST-MTG-DATE",DEF_Parameter!$A$3:$D$102,4,FALSE),"YES","")</f>
        <v/>
      </c>
      <c r="Q195"/>
      <c r="R195"/>
    </row>
    <row r="196" spans="1:18" x14ac:dyDescent="0.45">
      <c r="A196">
        <f t="shared" si="5"/>
        <v>138</v>
      </c>
      <c r="B196" t="str">
        <f>VLOOKUP("project_id",ProjectHeaderInfoTalbe[],2,FALSE)&amp;"-"&amp;"T"&amp;TEXT(TaskListTable[[#This Row],[no]],"000")</f>
        <v>PJ-CATEGORY-FY-SEQ-T138</v>
      </c>
      <c r="C196" s="8"/>
      <c r="D196" s="8"/>
      <c r="E196" s="8"/>
      <c r="F196" s="8"/>
      <c r="G196" s="9"/>
      <c r="H196" s="9"/>
      <c r="I196" s="8"/>
      <c r="J196" s="8"/>
      <c r="K196" s="8"/>
      <c r="L196" s="8"/>
      <c r="M196" s="9"/>
      <c r="N196" s="8"/>
      <c r="O196" s="8"/>
      <c r="P196" t="str">
        <f>IF(TaskListTable[[#This Row],[last_update]]&gt;VLOOKUP("LAST-MTG-DATE",DEF_Parameter!$A$3:$D$102,4,FALSE),"YES","")</f>
        <v/>
      </c>
      <c r="Q196"/>
      <c r="R196"/>
    </row>
    <row r="197" spans="1:18" x14ac:dyDescent="0.45">
      <c r="A197">
        <f t="shared" si="5"/>
        <v>139</v>
      </c>
      <c r="B197" t="str">
        <f>VLOOKUP("project_id",ProjectHeaderInfoTalbe[],2,FALSE)&amp;"-"&amp;"T"&amp;TEXT(TaskListTable[[#This Row],[no]],"000")</f>
        <v>PJ-CATEGORY-FY-SEQ-T139</v>
      </c>
      <c r="C197" s="8"/>
      <c r="D197" s="8"/>
      <c r="E197" s="8"/>
      <c r="F197" s="8"/>
      <c r="G197" s="9"/>
      <c r="H197" s="9"/>
      <c r="I197" s="8"/>
      <c r="J197" s="8"/>
      <c r="K197" s="8"/>
      <c r="L197" s="8"/>
      <c r="M197" s="9"/>
      <c r="N197" s="8"/>
      <c r="O197" s="8"/>
      <c r="P197" t="str">
        <f>IF(TaskListTable[[#This Row],[last_update]]&gt;VLOOKUP("LAST-MTG-DATE",DEF_Parameter!$A$3:$D$102,4,FALSE),"YES","")</f>
        <v/>
      </c>
      <c r="Q197"/>
      <c r="R197"/>
    </row>
    <row r="198" spans="1:18" x14ac:dyDescent="0.45">
      <c r="A198">
        <f t="shared" si="5"/>
        <v>140</v>
      </c>
      <c r="B198" t="str">
        <f>VLOOKUP("project_id",ProjectHeaderInfoTalbe[],2,FALSE)&amp;"-"&amp;"T"&amp;TEXT(TaskListTable[[#This Row],[no]],"000")</f>
        <v>PJ-CATEGORY-FY-SEQ-T140</v>
      </c>
      <c r="C198" s="8"/>
      <c r="D198" s="8"/>
      <c r="E198" s="8"/>
      <c r="F198" s="8"/>
      <c r="G198" s="9"/>
      <c r="H198" s="9"/>
      <c r="I198" s="8"/>
      <c r="J198" s="8"/>
      <c r="K198" s="8"/>
      <c r="L198" s="8"/>
      <c r="M198" s="9"/>
      <c r="N198" s="8"/>
      <c r="O198" s="8"/>
      <c r="P198" t="str">
        <f>IF(TaskListTable[[#This Row],[last_update]]&gt;VLOOKUP("LAST-MTG-DATE",DEF_Parameter!$A$3:$D$102,4,FALSE),"YES","")</f>
        <v/>
      </c>
      <c r="Q198"/>
      <c r="R198"/>
    </row>
    <row r="199" spans="1:18" x14ac:dyDescent="0.45">
      <c r="A199">
        <f t="shared" si="5"/>
        <v>141</v>
      </c>
      <c r="B199" t="str">
        <f>VLOOKUP("project_id",ProjectHeaderInfoTalbe[],2,FALSE)&amp;"-"&amp;"T"&amp;TEXT(TaskListTable[[#This Row],[no]],"000")</f>
        <v>PJ-CATEGORY-FY-SEQ-T141</v>
      </c>
      <c r="C199" s="8"/>
      <c r="D199" s="8"/>
      <c r="E199" s="8"/>
      <c r="F199" s="8"/>
      <c r="G199" s="9"/>
      <c r="H199" s="9"/>
      <c r="I199" s="8"/>
      <c r="J199" s="8"/>
      <c r="K199" s="8"/>
      <c r="L199" s="8"/>
      <c r="M199" s="9"/>
      <c r="N199" s="8"/>
      <c r="O199" s="8"/>
      <c r="P199" t="str">
        <f>IF(TaskListTable[[#This Row],[last_update]]&gt;VLOOKUP("LAST-MTG-DATE",DEF_Parameter!$A$3:$D$102,4,FALSE),"YES","")</f>
        <v/>
      </c>
      <c r="Q199"/>
      <c r="R199"/>
    </row>
    <row r="200" spans="1:18" x14ac:dyDescent="0.45">
      <c r="A200">
        <f t="shared" si="5"/>
        <v>142</v>
      </c>
      <c r="B200" t="str">
        <f>VLOOKUP("project_id",ProjectHeaderInfoTalbe[],2,FALSE)&amp;"-"&amp;"T"&amp;TEXT(TaskListTable[[#This Row],[no]],"000")</f>
        <v>PJ-CATEGORY-FY-SEQ-T142</v>
      </c>
      <c r="C200" s="8"/>
      <c r="D200" s="8"/>
      <c r="E200" s="8"/>
      <c r="F200" s="8"/>
      <c r="G200" s="9"/>
      <c r="H200" s="9"/>
      <c r="I200" s="8"/>
      <c r="J200" s="8"/>
      <c r="K200" s="8"/>
      <c r="L200" s="8"/>
      <c r="M200" s="9"/>
      <c r="N200" s="8"/>
      <c r="O200" s="8"/>
      <c r="P200" t="str">
        <f>IF(TaskListTable[[#This Row],[last_update]]&gt;VLOOKUP("LAST-MTG-DATE",DEF_Parameter!$A$3:$D$102,4,FALSE),"YES","")</f>
        <v/>
      </c>
      <c r="Q200"/>
      <c r="R200"/>
    </row>
    <row r="201" spans="1:18" x14ac:dyDescent="0.45">
      <c r="A201">
        <f t="shared" si="5"/>
        <v>143</v>
      </c>
      <c r="B201" t="str">
        <f>VLOOKUP("project_id",ProjectHeaderInfoTalbe[],2,FALSE)&amp;"-"&amp;"T"&amp;TEXT(TaskListTable[[#This Row],[no]],"000")</f>
        <v>PJ-CATEGORY-FY-SEQ-T143</v>
      </c>
      <c r="C201" s="8"/>
      <c r="D201" s="8"/>
      <c r="E201" s="8"/>
      <c r="F201" s="8"/>
      <c r="G201" s="9"/>
      <c r="H201" s="9"/>
      <c r="I201" s="8"/>
      <c r="J201" s="8"/>
      <c r="K201" s="8"/>
      <c r="L201" s="8"/>
      <c r="M201" s="9"/>
      <c r="N201" s="8"/>
      <c r="O201" s="8"/>
      <c r="P201" t="str">
        <f>IF(TaskListTable[[#This Row],[last_update]]&gt;VLOOKUP("LAST-MTG-DATE",DEF_Parameter!$A$3:$D$102,4,FALSE),"YES","")</f>
        <v/>
      </c>
      <c r="Q201"/>
      <c r="R201"/>
    </row>
    <row r="202" spans="1:18" x14ac:dyDescent="0.45">
      <c r="A202">
        <f t="shared" si="5"/>
        <v>144</v>
      </c>
      <c r="B202" t="str">
        <f>VLOOKUP("project_id",ProjectHeaderInfoTalbe[],2,FALSE)&amp;"-"&amp;"T"&amp;TEXT(TaskListTable[[#This Row],[no]],"000")</f>
        <v>PJ-CATEGORY-FY-SEQ-T144</v>
      </c>
      <c r="C202" s="8"/>
      <c r="D202" s="8"/>
      <c r="E202" s="8"/>
      <c r="F202" s="8"/>
      <c r="G202" s="9"/>
      <c r="H202" s="9"/>
      <c r="I202" s="8"/>
      <c r="J202" s="8"/>
      <c r="K202" s="8"/>
      <c r="L202" s="8"/>
      <c r="M202" s="9"/>
      <c r="N202" s="8"/>
      <c r="O202" s="8"/>
      <c r="P202" t="str">
        <f>IF(TaskListTable[[#This Row],[last_update]]&gt;VLOOKUP("LAST-MTG-DATE",DEF_Parameter!$A$3:$D$102,4,FALSE),"YES","")</f>
        <v/>
      </c>
      <c r="Q202"/>
      <c r="R202"/>
    </row>
    <row r="203" spans="1:18" x14ac:dyDescent="0.45">
      <c r="A203">
        <f t="shared" si="5"/>
        <v>145</v>
      </c>
      <c r="B203" t="str">
        <f>VLOOKUP("project_id",ProjectHeaderInfoTalbe[],2,FALSE)&amp;"-"&amp;"T"&amp;TEXT(TaskListTable[[#This Row],[no]],"000")</f>
        <v>PJ-CATEGORY-FY-SEQ-T145</v>
      </c>
      <c r="C203" s="8"/>
      <c r="D203" s="8"/>
      <c r="E203" s="8"/>
      <c r="F203" s="8"/>
      <c r="G203" s="9"/>
      <c r="H203" s="9"/>
      <c r="I203" s="8"/>
      <c r="J203" s="8"/>
      <c r="K203" s="8"/>
      <c r="L203" s="8"/>
      <c r="M203" s="9"/>
      <c r="N203" s="8"/>
      <c r="O203" s="8"/>
      <c r="P203" t="str">
        <f>IF(TaskListTable[[#This Row],[last_update]]&gt;VLOOKUP("LAST-MTG-DATE",DEF_Parameter!$A$3:$D$102,4,FALSE),"YES","")</f>
        <v/>
      </c>
      <c r="Q203"/>
      <c r="R203"/>
    </row>
    <row r="204" spans="1:18" x14ac:dyDescent="0.45">
      <c r="A204">
        <f t="shared" si="5"/>
        <v>146</v>
      </c>
      <c r="B204" t="str">
        <f>VLOOKUP("project_id",ProjectHeaderInfoTalbe[],2,FALSE)&amp;"-"&amp;"T"&amp;TEXT(TaskListTable[[#This Row],[no]],"000")</f>
        <v>PJ-CATEGORY-FY-SEQ-T146</v>
      </c>
      <c r="C204" s="8"/>
      <c r="D204" s="8"/>
      <c r="E204" s="8"/>
      <c r="F204" s="8"/>
      <c r="G204" s="9"/>
      <c r="H204" s="9"/>
      <c r="I204" s="8"/>
      <c r="J204" s="8"/>
      <c r="K204" s="8"/>
      <c r="L204" s="8"/>
      <c r="M204" s="9"/>
      <c r="N204" s="8"/>
      <c r="O204" s="8"/>
      <c r="P204" t="str">
        <f>IF(TaskListTable[[#This Row],[last_update]]&gt;VLOOKUP("LAST-MTG-DATE",DEF_Parameter!$A$3:$D$102,4,FALSE),"YES","")</f>
        <v/>
      </c>
      <c r="Q204"/>
      <c r="R204"/>
    </row>
    <row r="205" spans="1:18" x14ac:dyDescent="0.45">
      <c r="A205">
        <f t="shared" si="5"/>
        <v>147</v>
      </c>
      <c r="B205" t="str">
        <f>VLOOKUP("project_id",ProjectHeaderInfoTalbe[],2,FALSE)&amp;"-"&amp;"T"&amp;TEXT(TaskListTable[[#This Row],[no]],"000")</f>
        <v>PJ-CATEGORY-FY-SEQ-T147</v>
      </c>
      <c r="C205" s="8"/>
      <c r="D205" s="8"/>
      <c r="E205" s="8"/>
      <c r="F205" s="8"/>
      <c r="G205" s="9"/>
      <c r="H205" s="9"/>
      <c r="I205" s="8"/>
      <c r="J205" s="8"/>
      <c r="K205" s="8"/>
      <c r="L205" s="8"/>
      <c r="M205" s="9"/>
      <c r="N205" s="8"/>
      <c r="O205" s="8"/>
      <c r="P205" t="str">
        <f>IF(TaskListTable[[#This Row],[last_update]]&gt;VLOOKUP("LAST-MTG-DATE",DEF_Parameter!$A$3:$D$102,4,FALSE),"YES","")</f>
        <v/>
      </c>
      <c r="Q205"/>
      <c r="R205"/>
    </row>
    <row r="206" spans="1:18" x14ac:dyDescent="0.45">
      <c r="A206">
        <f t="shared" si="5"/>
        <v>148</v>
      </c>
      <c r="B206" t="str">
        <f>VLOOKUP("project_id",ProjectHeaderInfoTalbe[],2,FALSE)&amp;"-"&amp;"T"&amp;TEXT(TaskListTable[[#This Row],[no]],"000")</f>
        <v>PJ-CATEGORY-FY-SEQ-T148</v>
      </c>
      <c r="C206" s="8"/>
      <c r="D206" s="8"/>
      <c r="E206" s="8"/>
      <c r="F206" s="8"/>
      <c r="G206" s="9"/>
      <c r="H206" s="9"/>
      <c r="I206" s="8"/>
      <c r="J206" s="8"/>
      <c r="K206" s="8"/>
      <c r="L206" s="8"/>
      <c r="M206" s="9"/>
      <c r="N206" s="8"/>
      <c r="O206" s="8"/>
      <c r="P206" t="str">
        <f>IF(TaskListTable[[#This Row],[last_update]]&gt;VLOOKUP("LAST-MTG-DATE",DEF_Parameter!$A$3:$D$102,4,FALSE),"YES","")</f>
        <v/>
      </c>
      <c r="Q206"/>
      <c r="R206"/>
    </row>
    <row r="207" spans="1:18" x14ac:dyDescent="0.45">
      <c r="A207">
        <f t="shared" si="5"/>
        <v>149</v>
      </c>
      <c r="B207" t="str">
        <f>VLOOKUP("project_id",ProjectHeaderInfoTalbe[],2,FALSE)&amp;"-"&amp;"T"&amp;TEXT(TaskListTable[[#This Row],[no]],"000")</f>
        <v>PJ-CATEGORY-FY-SEQ-T149</v>
      </c>
      <c r="C207" s="8"/>
      <c r="D207" s="8"/>
      <c r="E207" s="8"/>
      <c r="F207" s="8"/>
      <c r="G207" s="9"/>
      <c r="H207" s="9"/>
      <c r="I207" s="8"/>
      <c r="J207" s="8"/>
      <c r="K207" s="8"/>
      <c r="L207" s="8"/>
      <c r="M207" s="9"/>
      <c r="N207" s="8"/>
      <c r="O207" s="8"/>
      <c r="P207" t="str">
        <f>IF(TaskListTable[[#This Row],[last_update]]&gt;VLOOKUP("LAST-MTG-DATE",DEF_Parameter!$A$3:$D$102,4,FALSE),"YES","")</f>
        <v/>
      </c>
      <c r="Q207"/>
      <c r="R207"/>
    </row>
    <row r="208" spans="1:18" x14ac:dyDescent="0.45">
      <c r="A208">
        <f t="shared" si="5"/>
        <v>150</v>
      </c>
      <c r="B208" t="str">
        <f>VLOOKUP("project_id",ProjectHeaderInfoTalbe[],2,FALSE)&amp;"-"&amp;"T"&amp;TEXT(TaskListTable[[#This Row],[no]],"000")</f>
        <v>PJ-CATEGORY-FY-SEQ-T150</v>
      </c>
      <c r="C208" s="8"/>
      <c r="D208" s="8"/>
      <c r="E208" s="8"/>
      <c r="F208" s="8"/>
      <c r="G208" s="9"/>
      <c r="H208" s="9"/>
      <c r="I208" s="8"/>
      <c r="J208" s="8"/>
      <c r="K208" s="8"/>
      <c r="L208" s="8"/>
      <c r="M208" s="9"/>
      <c r="N208" s="8"/>
      <c r="O208" s="8"/>
      <c r="P208" t="str">
        <f>IF(TaskListTable[[#This Row],[last_update]]&gt;VLOOKUP("LAST-MTG-DATE",DEF_Parameter!$A$3:$D$102,4,FALSE),"YES","")</f>
        <v/>
      </c>
      <c r="Q208"/>
      <c r="R208"/>
    </row>
    <row r="209" spans="1:18" x14ac:dyDescent="0.45">
      <c r="A209">
        <f t="shared" si="5"/>
        <v>151</v>
      </c>
      <c r="B209" t="str">
        <f>VLOOKUP("project_id",ProjectHeaderInfoTalbe[],2,FALSE)&amp;"-"&amp;"T"&amp;TEXT(TaskListTable[[#This Row],[no]],"000")</f>
        <v>PJ-CATEGORY-FY-SEQ-T151</v>
      </c>
      <c r="C209" s="8"/>
      <c r="D209" s="8"/>
      <c r="E209" s="8"/>
      <c r="F209" s="8"/>
      <c r="G209" s="9"/>
      <c r="H209" s="9"/>
      <c r="I209" s="8"/>
      <c r="J209" s="8"/>
      <c r="K209" s="8"/>
      <c r="L209" s="8"/>
      <c r="M209" s="9"/>
      <c r="N209" s="8"/>
      <c r="O209" s="8"/>
      <c r="P209" t="str">
        <f>IF(TaskListTable[[#This Row],[last_update]]&gt;VLOOKUP("LAST-MTG-DATE",DEF_Parameter!$A$3:$D$102,4,FALSE),"YES","")</f>
        <v/>
      </c>
      <c r="Q209"/>
      <c r="R209"/>
    </row>
    <row r="210" spans="1:18" x14ac:dyDescent="0.45">
      <c r="A210">
        <f t="shared" si="5"/>
        <v>152</v>
      </c>
      <c r="B210" t="str">
        <f>VLOOKUP("project_id",ProjectHeaderInfoTalbe[],2,FALSE)&amp;"-"&amp;"T"&amp;TEXT(TaskListTable[[#This Row],[no]],"000")</f>
        <v>PJ-CATEGORY-FY-SEQ-T152</v>
      </c>
      <c r="C210" s="8"/>
      <c r="D210" s="8"/>
      <c r="E210" s="8"/>
      <c r="F210" s="8"/>
      <c r="G210" s="9"/>
      <c r="H210" s="9"/>
      <c r="I210" s="8"/>
      <c r="J210" s="8"/>
      <c r="K210" s="8"/>
      <c r="L210" s="8"/>
      <c r="M210" s="9"/>
      <c r="N210" s="8"/>
      <c r="O210" s="8"/>
      <c r="P210" t="str">
        <f>IF(TaskListTable[[#This Row],[last_update]]&gt;VLOOKUP("LAST-MTG-DATE",DEF_Parameter!$A$3:$D$102,4,FALSE),"YES","")</f>
        <v/>
      </c>
      <c r="Q210"/>
      <c r="R210"/>
    </row>
    <row r="211" spans="1:18" x14ac:dyDescent="0.45">
      <c r="A211">
        <f t="shared" si="5"/>
        <v>153</v>
      </c>
      <c r="B211" t="str">
        <f>VLOOKUP("project_id",ProjectHeaderInfoTalbe[],2,FALSE)&amp;"-"&amp;"T"&amp;TEXT(TaskListTable[[#This Row],[no]],"000")</f>
        <v>PJ-CATEGORY-FY-SEQ-T153</v>
      </c>
      <c r="C211" s="8"/>
      <c r="D211" s="8"/>
      <c r="E211" s="8"/>
      <c r="F211" s="8"/>
      <c r="G211" s="9"/>
      <c r="H211" s="9"/>
      <c r="I211" s="8"/>
      <c r="J211" s="8"/>
      <c r="K211" s="8"/>
      <c r="L211" s="8"/>
      <c r="M211" s="9"/>
      <c r="N211" s="8"/>
      <c r="O211" s="8"/>
      <c r="P211" t="str">
        <f>IF(TaskListTable[[#This Row],[last_update]]&gt;VLOOKUP("LAST-MTG-DATE",DEF_Parameter!$A$3:$D$102,4,FALSE),"YES","")</f>
        <v/>
      </c>
      <c r="Q211"/>
      <c r="R211"/>
    </row>
    <row r="212" spans="1:18" x14ac:dyDescent="0.45">
      <c r="A212">
        <f t="shared" si="5"/>
        <v>154</v>
      </c>
      <c r="B212" t="str">
        <f>VLOOKUP("project_id",ProjectHeaderInfoTalbe[],2,FALSE)&amp;"-"&amp;"T"&amp;TEXT(TaskListTable[[#This Row],[no]],"000")</f>
        <v>PJ-CATEGORY-FY-SEQ-T154</v>
      </c>
      <c r="C212" s="8"/>
      <c r="D212" s="8"/>
      <c r="E212" s="8"/>
      <c r="F212" s="8"/>
      <c r="G212" s="9"/>
      <c r="H212" s="9"/>
      <c r="I212" s="8"/>
      <c r="J212" s="8"/>
      <c r="K212" s="8"/>
      <c r="L212" s="8"/>
      <c r="M212" s="9"/>
      <c r="N212" s="8"/>
      <c r="O212" s="8"/>
      <c r="P212" t="str">
        <f>IF(TaskListTable[[#This Row],[last_update]]&gt;VLOOKUP("LAST-MTG-DATE",DEF_Parameter!$A$3:$D$102,4,FALSE),"YES","")</f>
        <v/>
      </c>
      <c r="Q212"/>
      <c r="R212"/>
    </row>
    <row r="213" spans="1:18" x14ac:dyDescent="0.45">
      <c r="A213">
        <f t="shared" si="5"/>
        <v>155</v>
      </c>
      <c r="B213" t="str">
        <f>VLOOKUP("project_id",ProjectHeaderInfoTalbe[],2,FALSE)&amp;"-"&amp;"T"&amp;TEXT(TaskListTable[[#This Row],[no]],"000")</f>
        <v>PJ-CATEGORY-FY-SEQ-T155</v>
      </c>
      <c r="C213" s="8"/>
      <c r="D213" s="8"/>
      <c r="E213" s="8"/>
      <c r="F213" s="8"/>
      <c r="G213" s="9"/>
      <c r="H213" s="9"/>
      <c r="I213" s="8"/>
      <c r="J213" s="8"/>
      <c r="K213" s="8"/>
      <c r="L213" s="8"/>
      <c r="M213" s="9"/>
      <c r="N213" s="8"/>
      <c r="O213" s="8"/>
      <c r="P213" t="str">
        <f>IF(TaskListTable[[#This Row],[last_update]]&gt;VLOOKUP("LAST-MTG-DATE",DEF_Parameter!$A$3:$D$102,4,FALSE),"YES","")</f>
        <v/>
      </c>
      <c r="Q213"/>
      <c r="R213"/>
    </row>
    <row r="214" spans="1:18" x14ac:dyDescent="0.45">
      <c r="A214">
        <f t="shared" si="5"/>
        <v>156</v>
      </c>
      <c r="B214" t="str">
        <f>VLOOKUP("project_id",ProjectHeaderInfoTalbe[],2,FALSE)&amp;"-"&amp;"T"&amp;TEXT(TaskListTable[[#This Row],[no]],"000")</f>
        <v>PJ-CATEGORY-FY-SEQ-T156</v>
      </c>
      <c r="C214" s="8"/>
      <c r="D214" s="8"/>
      <c r="E214" s="8"/>
      <c r="F214" s="8"/>
      <c r="G214" s="9"/>
      <c r="H214" s="9"/>
      <c r="I214" s="8"/>
      <c r="J214" s="8"/>
      <c r="K214" s="8"/>
      <c r="L214" s="8"/>
      <c r="M214" s="9"/>
      <c r="N214" s="8"/>
      <c r="O214" s="8"/>
      <c r="P214" t="str">
        <f>IF(TaskListTable[[#This Row],[last_update]]&gt;VLOOKUP("LAST-MTG-DATE",DEF_Parameter!$A$3:$D$102,4,FALSE),"YES","")</f>
        <v/>
      </c>
      <c r="Q214"/>
      <c r="R214"/>
    </row>
    <row r="215" spans="1:18" x14ac:dyDescent="0.45">
      <c r="A215">
        <f t="shared" si="5"/>
        <v>157</v>
      </c>
      <c r="B215" t="str">
        <f>VLOOKUP("project_id",ProjectHeaderInfoTalbe[],2,FALSE)&amp;"-"&amp;"T"&amp;TEXT(TaskListTable[[#This Row],[no]],"000")</f>
        <v>PJ-CATEGORY-FY-SEQ-T157</v>
      </c>
      <c r="C215" s="8"/>
      <c r="D215" s="8"/>
      <c r="E215" s="8"/>
      <c r="F215" s="8"/>
      <c r="G215" s="9"/>
      <c r="H215" s="9"/>
      <c r="I215" s="8"/>
      <c r="J215" s="8"/>
      <c r="K215" s="8"/>
      <c r="L215" s="8"/>
      <c r="M215" s="9"/>
      <c r="N215" s="8"/>
      <c r="O215" s="8"/>
      <c r="P215" t="str">
        <f>IF(TaskListTable[[#This Row],[last_update]]&gt;VLOOKUP("LAST-MTG-DATE",DEF_Parameter!$A$3:$D$102,4,FALSE),"YES","")</f>
        <v/>
      </c>
      <c r="Q215"/>
      <c r="R215"/>
    </row>
    <row r="216" spans="1:18" x14ac:dyDescent="0.45">
      <c r="A216">
        <f t="shared" si="5"/>
        <v>158</v>
      </c>
      <c r="B216" t="str">
        <f>VLOOKUP("project_id",ProjectHeaderInfoTalbe[],2,FALSE)&amp;"-"&amp;"T"&amp;TEXT(TaskListTable[[#This Row],[no]],"000")</f>
        <v>PJ-CATEGORY-FY-SEQ-T158</v>
      </c>
      <c r="C216" s="8"/>
      <c r="D216" s="8"/>
      <c r="E216" s="8"/>
      <c r="F216" s="8"/>
      <c r="G216" s="9"/>
      <c r="H216" s="9"/>
      <c r="I216" s="8"/>
      <c r="J216" s="8"/>
      <c r="K216" s="8"/>
      <c r="L216" s="8"/>
      <c r="M216" s="9"/>
      <c r="N216" s="8"/>
      <c r="O216" s="8"/>
      <c r="P216" t="str">
        <f>IF(TaskListTable[[#This Row],[last_update]]&gt;VLOOKUP("LAST-MTG-DATE",DEF_Parameter!$A$3:$D$102,4,FALSE),"YES","")</f>
        <v/>
      </c>
      <c r="Q216"/>
      <c r="R216"/>
    </row>
    <row r="217" spans="1:18" x14ac:dyDescent="0.45">
      <c r="A217">
        <f t="shared" si="5"/>
        <v>159</v>
      </c>
      <c r="B217" t="str">
        <f>VLOOKUP("project_id",ProjectHeaderInfoTalbe[],2,FALSE)&amp;"-"&amp;"T"&amp;TEXT(TaskListTable[[#This Row],[no]],"000")</f>
        <v>PJ-CATEGORY-FY-SEQ-T159</v>
      </c>
      <c r="C217" s="8"/>
      <c r="D217" s="8"/>
      <c r="E217" s="8"/>
      <c r="F217" s="8"/>
      <c r="G217" s="9"/>
      <c r="H217" s="9"/>
      <c r="I217" s="8"/>
      <c r="J217" s="8"/>
      <c r="K217" s="8"/>
      <c r="L217" s="8"/>
      <c r="M217" s="9"/>
      <c r="N217" s="8"/>
      <c r="O217" s="8"/>
      <c r="P217" t="str">
        <f>IF(TaskListTable[[#This Row],[last_update]]&gt;VLOOKUP("LAST-MTG-DATE",DEF_Parameter!$A$3:$D$102,4,FALSE),"YES","")</f>
        <v/>
      </c>
      <c r="Q217"/>
      <c r="R217"/>
    </row>
    <row r="218" spans="1:18" x14ac:dyDescent="0.45">
      <c r="A218">
        <f t="shared" si="5"/>
        <v>160</v>
      </c>
      <c r="B218" t="str">
        <f>VLOOKUP("project_id",ProjectHeaderInfoTalbe[],2,FALSE)&amp;"-"&amp;"T"&amp;TEXT(TaskListTable[[#This Row],[no]],"000")</f>
        <v>PJ-CATEGORY-FY-SEQ-T160</v>
      </c>
      <c r="C218" s="8"/>
      <c r="D218" s="8"/>
      <c r="E218" s="8"/>
      <c r="F218" s="8"/>
      <c r="G218" s="9"/>
      <c r="H218" s="9"/>
      <c r="I218" s="8"/>
      <c r="J218" s="8"/>
      <c r="K218" s="8"/>
      <c r="L218" s="8"/>
      <c r="M218" s="9"/>
      <c r="N218" s="8"/>
      <c r="O218" s="8"/>
      <c r="P218" t="str">
        <f>IF(TaskListTable[[#This Row],[last_update]]&gt;VLOOKUP("LAST-MTG-DATE",DEF_Parameter!$A$3:$D$102,4,FALSE),"YES","")</f>
        <v/>
      </c>
      <c r="Q218"/>
      <c r="R218"/>
    </row>
    <row r="219" spans="1:18" x14ac:dyDescent="0.45">
      <c r="A219">
        <f t="shared" si="5"/>
        <v>161</v>
      </c>
      <c r="B219" t="str">
        <f>VLOOKUP("project_id",ProjectHeaderInfoTalbe[],2,FALSE)&amp;"-"&amp;"T"&amp;TEXT(TaskListTable[[#This Row],[no]],"000")</f>
        <v>PJ-CATEGORY-FY-SEQ-T161</v>
      </c>
      <c r="C219" s="8"/>
      <c r="D219" s="8"/>
      <c r="E219" s="8"/>
      <c r="F219" s="8"/>
      <c r="G219" s="9"/>
      <c r="H219" s="9"/>
      <c r="I219" s="8"/>
      <c r="J219" s="8"/>
      <c r="K219" s="8"/>
      <c r="L219" s="8"/>
      <c r="M219" s="9"/>
      <c r="N219" s="8"/>
      <c r="O219" s="8"/>
      <c r="P219" t="str">
        <f>IF(TaskListTable[[#This Row],[last_update]]&gt;VLOOKUP("LAST-MTG-DATE",DEF_Parameter!$A$3:$D$102,4,FALSE),"YES","")</f>
        <v/>
      </c>
      <c r="Q219"/>
      <c r="R219"/>
    </row>
    <row r="220" spans="1:18" x14ac:dyDescent="0.45">
      <c r="A220">
        <f t="shared" ref="A220:A251" si="6">A219+1</f>
        <v>162</v>
      </c>
      <c r="B220" t="str">
        <f>VLOOKUP("project_id",ProjectHeaderInfoTalbe[],2,FALSE)&amp;"-"&amp;"T"&amp;TEXT(TaskListTable[[#This Row],[no]],"000")</f>
        <v>PJ-CATEGORY-FY-SEQ-T162</v>
      </c>
      <c r="C220" s="8"/>
      <c r="D220" s="8"/>
      <c r="E220" s="8"/>
      <c r="F220" s="8"/>
      <c r="G220" s="9"/>
      <c r="H220" s="9"/>
      <c r="I220" s="8"/>
      <c r="J220" s="8"/>
      <c r="K220" s="8"/>
      <c r="L220" s="8"/>
      <c r="M220" s="9"/>
      <c r="N220" s="8"/>
      <c r="O220" s="8"/>
      <c r="P220" t="str">
        <f>IF(TaskListTable[[#This Row],[last_update]]&gt;VLOOKUP("LAST-MTG-DATE",DEF_Parameter!$A$3:$D$102,4,FALSE),"YES","")</f>
        <v/>
      </c>
      <c r="Q220"/>
      <c r="R220"/>
    </row>
    <row r="221" spans="1:18" x14ac:dyDescent="0.45">
      <c r="A221">
        <f t="shared" si="6"/>
        <v>163</v>
      </c>
      <c r="B221" t="str">
        <f>VLOOKUP("project_id",ProjectHeaderInfoTalbe[],2,FALSE)&amp;"-"&amp;"T"&amp;TEXT(TaskListTable[[#This Row],[no]],"000")</f>
        <v>PJ-CATEGORY-FY-SEQ-T163</v>
      </c>
      <c r="C221" s="8"/>
      <c r="D221" s="8"/>
      <c r="E221" s="8"/>
      <c r="F221" s="8"/>
      <c r="G221" s="9"/>
      <c r="H221" s="9"/>
      <c r="I221" s="8"/>
      <c r="J221" s="8"/>
      <c r="K221" s="8"/>
      <c r="L221" s="8"/>
      <c r="M221" s="9"/>
      <c r="N221" s="8"/>
      <c r="O221" s="8"/>
      <c r="P221" t="str">
        <f>IF(TaskListTable[[#This Row],[last_update]]&gt;VLOOKUP("LAST-MTG-DATE",DEF_Parameter!$A$3:$D$102,4,FALSE),"YES","")</f>
        <v/>
      </c>
      <c r="Q221"/>
      <c r="R221"/>
    </row>
    <row r="222" spans="1:18" x14ac:dyDescent="0.45">
      <c r="A222">
        <f t="shared" si="6"/>
        <v>164</v>
      </c>
      <c r="B222" t="str">
        <f>VLOOKUP("project_id",ProjectHeaderInfoTalbe[],2,FALSE)&amp;"-"&amp;"T"&amp;TEXT(TaskListTable[[#This Row],[no]],"000")</f>
        <v>PJ-CATEGORY-FY-SEQ-T164</v>
      </c>
      <c r="C222" s="8"/>
      <c r="D222" s="8"/>
      <c r="E222" s="8"/>
      <c r="F222" s="8"/>
      <c r="G222" s="9"/>
      <c r="H222" s="9"/>
      <c r="I222" s="8"/>
      <c r="J222" s="8"/>
      <c r="K222" s="8"/>
      <c r="L222" s="8"/>
      <c r="M222" s="9"/>
      <c r="N222" s="8"/>
      <c r="O222" s="8"/>
      <c r="P222" t="str">
        <f>IF(TaskListTable[[#This Row],[last_update]]&gt;VLOOKUP("LAST-MTG-DATE",DEF_Parameter!$A$3:$D$102,4,FALSE),"YES","")</f>
        <v/>
      </c>
      <c r="Q222"/>
      <c r="R222"/>
    </row>
    <row r="223" spans="1:18" x14ac:dyDescent="0.45">
      <c r="A223">
        <f t="shared" si="6"/>
        <v>165</v>
      </c>
      <c r="B223" t="str">
        <f>VLOOKUP("project_id",ProjectHeaderInfoTalbe[],2,FALSE)&amp;"-"&amp;"T"&amp;TEXT(TaskListTable[[#This Row],[no]],"000")</f>
        <v>PJ-CATEGORY-FY-SEQ-T165</v>
      </c>
      <c r="C223" s="8"/>
      <c r="D223" s="8"/>
      <c r="E223" s="8"/>
      <c r="F223" s="8"/>
      <c r="G223" s="9"/>
      <c r="H223" s="9"/>
      <c r="I223" s="8"/>
      <c r="J223" s="8"/>
      <c r="K223" s="8"/>
      <c r="L223" s="8"/>
      <c r="M223" s="9"/>
      <c r="N223" s="8"/>
      <c r="O223" s="8"/>
      <c r="P223" t="str">
        <f>IF(TaskListTable[[#This Row],[last_update]]&gt;VLOOKUP("LAST-MTG-DATE",DEF_Parameter!$A$3:$D$102,4,FALSE),"YES","")</f>
        <v/>
      </c>
      <c r="Q223"/>
      <c r="R223"/>
    </row>
    <row r="224" spans="1:18" x14ac:dyDescent="0.45">
      <c r="A224">
        <f t="shared" si="6"/>
        <v>166</v>
      </c>
      <c r="B224" t="str">
        <f>VLOOKUP("project_id",ProjectHeaderInfoTalbe[],2,FALSE)&amp;"-"&amp;"T"&amp;TEXT(TaskListTable[[#This Row],[no]],"000")</f>
        <v>PJ-CATEGORY-FY-SEQ-T166</v>
      </c>
      <c r="C224" s="8"/>
      <c r="D224" s="8"/>
      <c r="E224" s="8"/>
      <c r="F224" s="8"/>
      <c r="G224" s="9"/>
      <c r="H224" s="9"/>
      <c r="I224" s="8"/>
      <c r="J224" s="8"/>
      <c r="K224" s="8"/>
      <c r="L224" s="8"/>
      <c r="M224" s="9"/>
      <c r="N224" s="8"/>
      <c r="O224" s="8"/>
      <c r="P224" t="str">
        <f>IF(TaskListTable[[#This Row],[last_update]]&gt;VLOOKUP("LAST-MTG-DATE",DEF_Parameter!$A$3:$D$102,4,FALSE),"YES","")</f>
        <v/>
      </c>
      <c r="Q224"/>
      <c r="R224"/>
    </row>
    <row r="225" spans="1:18" x14ac:dyDescent="0.45">
      <c r="A225">
        <f t="shared" si="6"/>
        <v>167</v>
      </c>
      <c r="B225" t="str">
        <f>VLOOKUP("project_id",ProjectHeaderInfoTalbe[],2,FALSE)&amp;"-"&amp;"T"&amp;TEXT(TaskListTable[[#This Row],[no]],"000")</f>
        <v>PJ-CATEGORY-FY-SEQ-T167</v>
      </c>
      <c r="C225" s="8"/>
      <c r="D225" s="8"/>
      <c r="E225" s="8"/>
      <c r="F225" s="8"/>
      <c r="G225" s="9"/>
      <c r="H225" s="9"/>
      <c r="I225" s="8"/>
      <c r="J225" s="8"/>
      <c r="K225" s="8"/>
      <c r="L225" s="8"/>
      <c r="M225" s="9"/>
      <c r="N225" s="8"/>
      <c r="O225" s="8"/>
      <c r="P225" t="str">
        <f>IF(TaskListTable[[#This Row],[last_update]]&gt;VLOOKUP("LAST-MTG-DATE",DEF_Parameter!$A$3:$D$102,4,FALSE),"YES","")</f>
        <v/>
      </c>
      <c r="Q225"/>
      <c r="R225"/>
    </row>
    <row r="226" spans="1:18" x14ac:dyDescent="0.45">
      <c r="A226">
        <f t="shared" si="6"/>
        <v>168</v>
      </c>
      <c r="B226" t="str">
        <f>VLOOKUP("project_id",ProjectHeaderInfoTalbe[],2,FALSE)&amp;"-"&amp;"T"&amp;TEXT(TaskListTable[[#This Row],[no]],"000")</f>
        <v>PJ-CATEGORY-FY-SEQ-T168</v>
      </c>
      <c r="C226" s="8"/>
      <c r="D226" s="8"/>
      <c r="E226" s="8"/>
      <c r="F226" s="8"/>
      <c r="G226" s="9"/>
      <c r="H226" s="9"/>
      <c r="I226" s="8"/>
      <c r="J226" s="8"/>
      <c r="K226" s="8"/>
      <c r="L226" s="8"/>
      <c r="M226" s="9"/>
      <c r="N226" s="8"/>
      <c r="O226" s="8"/>
      <c r="P226" t="str">
        <f>IF(TaskListTable[[#This Row],[last_update]]&gt;VLOOKUP("LAST-MTG-DATE",DEF_Parameter!$A$3:$D$102,4,FALSE),"YES","")</f>
        <v/>
      </c>
      <c r="Q226"/>
      <c r="R226"/>
    </row>
    <row r="227" spans="1:18" x14ac:dyDescent="0.45">
      <c r="A227">
        <f t="shared" si="6"/>
        <v>169</v>
      </c>
      <c r="B227" t="str">
        <f>VLOOKUP("project_id",ProjectHeaderInfoTalbe[],2,FALSE)&amp;"-"&amp;"T"&amp;TEXT(TaskListTable[[#This Row],[no]],"000")</f>
        <v>PJ-CATEGORY-FY-SEQ-T169</v>
      </c>
      <c r="C227" s="8"/>
      <c r="D227" s="8"/>
      <c r="E227" s="8"/>
      <c r="F227" s="8"/>
      <c r="G227" s="9"/>
      <c r="H227" s="9"/>
      <c r="I227" s="8"/>
      <c r="J227" s="8"/>
      <c r="K227" s="8"/>
      <c r="L227" s="8"/>
      <c r="M227" s="9"/>
      <c r="N227" s="8"/>
      <c r="O227" s="8"/>
      <c r="P227" t="str">
        <f>IF(TaskListTable[[#This Row],[last_update]]&gt;VLOOKUP("LAST-MTG-DATE",DEF_Parameter!$A$3:$D$102,4,FALSE),"YES","")</f>
        <v/>
      </c>
      <c r="Q227"/>
      <c r="R227"/>
    </row>
    <row r="228" spans="1:18" x14ac:dyDescent="0.45">
      <c r="A228">
        <f t="shared" si="6"/>
        <v>170</v>
      </c>
      <c r="B228" t="str">
        <f>VLOOKUP("project_id",ProjectHeaderInfoTalbe[],2,FALSE)&amp;"-"&amp;"T"&amp;TEXT(TaskListTable[[#This Row],[no]],"000")</f>
        <v>PJ-CATEGORY-FY-SEQ-T170</v>
      </c>
      <c r="C228" s="8"/>
      <c r="D228" s="8"/>
      <c r="E228" s="8"/>
      <c r="F228" s="8"/>
      <c r="G228" s="9"/>
      <c r="H228" s="9"/>
      <c r="I228" s="8"/>
      <c r="J228" s="8"/>
      <c r="K228" s="8"/>
      <c r="L228" s="8"/>
      <c r="M228" s="9"/>
      <c r="N228" s="8"/>
      <c r="O228" s="8"/>
      <c r="P228" t="str">
        <f>IF(TaskListTable[[#This Row],[last_update]]&gt;VLOOKUP("LAST-MTG-DATE",DEF_Parameter!$A$3:$D$102,4,FALSE),"YES","")</f>
        <v/>
      </c>
      <c r="Q228"/>
      <c r="R228"/>
    </row>
    <row r="229" spans="1:18" x14ac:dyDescent="0.45">
      <c r="A229">
        <f t="shared" si="6"/>
        <v>171</v>
      </c>
      <c r="B229" t="str">
        <f>VLOOKUP("project_id",ProjectHeaderInfoTalbe[],2,FALSE)&amp;"-"&amp;"T"&amp;TEXT(TaskListTable[[#This Row],[no]],"000")</f>
        <v>PJ-CATEGORY-FY-SEQ-T171</v>
      </c>
      <c r="C229" s="8"/>
      <c r="D229" s="8"/>
      <c r="E229" s="8"/>
      <c r="F229" s="8"/>
      <c r="G229" s="9"/>
      <c r="H229" s="9"/>
      <c r="I229" s="8"/>
      <c r="J229" s="8"/>
      <c r="K229" s="8"/>
      <c r="L229" s="8"/>
      <c r="M229" s="9"/>
      <c r="N229" s="8"/>
      <c r="O229" s="8"/>
      <c r="P229" t="str">
        <f>IF(TaskListTable[[#This Row],[last_update]]&gt;VLOOKUP("LAST-MTG-DATE",DEF_Parameter!$A$3:$D$102,4,FALSE),"YES","")</f>
        <v/>
      </c>
      <c r="Q229"/>
      <c r="R229"/>
    </row>
    <row r="230" spans="1:18" x14ac:dyDescent="0.45">
      <c r="A230">
        <f t="shared" si="6"/>
        <v>172</v>
      </c>
      <c r="B230" t="str">
        <f>VLOOKUP("project_id",ProjectHeaderInfoTalbe[],2,FALSE)&amp;"-"&amp;"T"&amp;TEXT(TaskListTable[[#This Row],[no]],"000")</f>
        <v>PJ-CATEGORY-FY-SEQ-T172</v>
      </c>
      <c r="C230" s="8"/>
      <c r="D230" s="8"/>
      <c r="E230" s="8"/>
      <c r="F230" s="8"/>
      <c r="G230" s="9"/>
      <c r="H230" s="9"/>
      <c r="I230" s="8"/>
      <c r="J230" s="8"/>
      <c r="K230" s="8"/>
      <c r="L230" s="8"/>
      <c r="M230" s="9"/>
      <c r="N230" s="8"/>
      <c r="O230" s="8"/>
      <c r="P230" t="str">
        <f>IF(TaskListTable[[#This Row],[last_update]]&gt;VLOOKUP("LAST-MTG-DATE",DEF_Parameter!$A$3:$D$102,4,FALSE),"YES","")</f>
        <v/>
      </c>
      <c r="Q230"/>
      <c r="R230"/>
    </row>
    <row r="231" spans="1:18" x14ac:dyDescent="0.45">
      <c r="A231">
        <f t="shared" si="6"/>
        <v>173</v>
      </c>
      <c r="B231" t="str">
        <f>VLOOKUP("project_id",ProjectHeaderInfoTalbe[],2,FALSE)&amp;"-"&amp;"T"&amp;TEXT(TaskListTable[[#This Row],[no]],"000")</f>
        <v>PJ-CATEGORY-FY-SEQ-T173</v>
      </c>
      <c r="C231" s="8"/>
      <c r="D231" s="8"/>
      <c r="E231" s="8"/>
      <c r="F231" s="8"/>
      <c r="G231" s="9"/>
      <c r="H231" s="9"/>
      <c r="I231" s="8"/>
      <c r="J231" s="8"/>
      <c r="K231" s="8"/>
      <c r="L231" s="8"/>
      <c r="M231" s="9"/>
      <c r="N231" s="8"/>
      <c r="O231" s="8"/>
      <c r="P231" t="str">
        <f>IF(TaskListTable[[#This Row],[last_update]]&gt;VLOOKUP("LAST-MTG-DATE",DEF_Parameter!$A$3:$D$102,4,FALSE),"YES","")</f>
        <v/>
      </c>
      <c r="Q231"/>
      <c r="R231"/>
    </row>
    <row r="232" spans="1:18" x14ac:dyDescent="0.45">
      <c r="A232">
        <f t="shared" si="6"/>
        <v>174</v>
      </c>
      <c r="B232" t="str">
        <f>VLOOKUP("project_id",ProjectHeaderInfoTalbe[],2,FALSE)&amp;"-"&amp;"T"&amp;TEXT(TaskListTable[[#This Row],[no]],"000")</f>
        <v>PJ-CATEGORY-FY-SEQ-T174</v>
      </c>
      <c r="C232" s="8"/>
      <c r="D232" s="8"/>
      <c r="E232" s="8"/>
      <c r="F232" s="8"/>
      <c r="G232" s="9"/>
      <c r="H232" s="9"/>
      <c r="I232" s="8"/>
      <c r="J232" s="8"/>
      <c r="K232" s="8"/>
      <c r="L232" s="8"/>
      <c r="M232" s="9"/>
      <c r="N232" s="8"/>
      <c r="O232" s="8"/>
      <c r="P232" t="str">
        <f>IF(TaskListTable[[#This Row],[last_update]]&gt;VLOOKUP("LAST-MTG-DATE",DEF_Parameter!$A$3:$D$102,4,FALSE),"YES","")</f>
        <v/>
      </c>
      <c r="Q232"/>
      <c r="R232"/>
    </row>
    <row r="233" spans="1:18" x14ac:dyDescent="0.45">
      <c r="A233">
        <f t="shared" si="6"/>
        <v>175</v>
      </c>
      <c r="B233" t="str">
        <f>VLOOKUP("project_id",ProjectHeaderInfoTalbe[],2,FALSE)&amp;"-"&amp;"T"&amp;TEXT(TaskListTable[[#This Row],[no]],"000")</f>
        <v>PJ-CATEGORY-FY-SEQ-T175</v>
      </c>
      <c r="C233" s="8"/>
      <c r="D233" s="8"/>
      <c r="E233" s="8"/>
      <c r="F233" s="8"/>
      <c r="G233" s="9"/>
      <c r="H233" s="9"/>
      <c r="I233" s="8"/>
      <c r="J233" s="8"/>
      <c r="K233" s="8"/>
      <c r="L233" s="8"/>
      <c r="M233" s="9"/>
      <c r="N233" s="8"/>
      <c r="O233" s="8"/>
      <c r="P233" t="str">
        <f>IF(TaskListTable[[#This Row],[last_update]]&gt;VLOOKUP("LAST-MTG-DATE",DEF_Parameter!$A$3:$D$102,4,FALSE),"YES","")</f>
        <v/>
      </c>
      <c r="Q233"/>
      <c r="R233"/>
    </row>
    <row r="234" spans="1:18" x14ac:dyDescent="0.45">
      <c r="A234">
        <f t="shared" si="6"/>
        <v>176</v>
      </c>
      <c r="B234" t="str">
        <f>VLOOKUP("project_id",ProjectHeaderInfoTalbe[],2,FALSE)&amp;"-"&amp;"T"&amp;TEXT(TaskListTable[[#This Row],[no]],"000")</f>
        <v>PJ-CATEGORY-FY-SEQ-T176</v>
      </c>
      <c r="C234" s="8"/>
      <c r="D234" s="8"/>
      <c r="E234" s="8"/>
      <c r="F234" s="8"/>
      <c r="G234" s="9"/>
      <c r="H234" s="9"/>
      <c r="I234" s="8"/>
      <c r="J234" s="8"/>
      <c r="K234" s="8"/>
      <c r="L234" s="8"/>
      <c r="M234" s="9"/>
      <c r="N234" s="8"/>
      <c r="O234" s="8"/>
      <c r="P234" t="str">
        <f>IF(TaskListTable[[#This Row],[last_update]]&gt;VLOOKUP("LAST-MTG-DATE",DEF_Parameter!$A$3:$D$102,4,FALSE),"YES","")</f>
        <v/>
      </c>
      <c r="Q234"/>
      <c r="R234"/>
    </row>
    <row r="235" spans="1:18" x14ac:dyDescent="0.45">
      <c r="A235">
        <f t="shared" si="6"/>
        <v>177</v>
      </c>
      <c r="B235" t="str">
        <f>VLOOKUP("project_id",ProjectHeaderInfoTalbe[],2,FALSE)&amp;"-"&amp;"T"&amp;TEXT(TaskListTable[[#This Row],[no]],"000")</f>
        <v>PJ-CATEGORY-FY-SEQ-T177</v>
      </c>
      <c r="C235" s="8"/>
      <c r="D235" s="8"/>
      <c r="E235" s="8"/>
      <c r="F235" s="8"/>
      <c r="G235" s="9"/>
      <c r="H235" s="9"/>
      <c r="I235" s="8"/>
      <c r="J235" s="8"/>
      <c r="K235" s="8"/>
      <c r="L235" s="8"/>
      <c r="M235" s="9"/>
      <c r="N235" s="8"/>
      <c r="O235" s="8"/>
      <c r="P235" t="str">
        <f>IF(TaskListTable[[#This Row],[last_update]]&gt;VLOOKUP("LAST-MTG-DATE",DEF_Parameter!$A$3:$D$102,4,FALSE),"YES","")</f>
        <v/>
      </c>
      <c r="Q235"/>
      <c r="R235"/>
    </row>
    <row r="236" spans="1:18" x14ac:dyDescent="0.45">
      <c r="A236">
        <f t="shared" si="6"/>
        <v>178</v>
      </c>
      <c r="B236" t="str">
        <f>VLOOKUP("project_id",ProjectHeaderInfoTalbe[],2,FALSE)&amp;"-"&amp;"T"&amp;TEXT(TaskListTable[[#This Row],[no]],"000")</f>
        <v>PJ-CATEGORY-FY-SEQ-T178</v>
      </c>
      <c r="C236" s="8"/>
      <c r="D236" s="8"/>
      <c r="E236" s="8"/>
      <c r="F236" s="8"/>
      <c r="G236" s="9"/>
      <c r="H236" s="9"/>
      <c r="I236" s="8"/>
      <c r="J236" s="8"/>
      <c r="K236" s="8"/>
      <c r="L236" s="8"/>
      <c r="M236" s="9"/>
      <c r="N236" s="8"/>
      <c r="O236" s="8"/>
      <c r="P236" t="str">
        <f>IF(TaskListTable[[#This Row],[last_update]]&gt;VLOOKUP("LAST-MTG-DATE",DEF_Parameter!$A$3:$D$102,4,FALSE),"YES","")</f>
        <v/>
      </c>
      <c r="Q236"/>
      <c r="R236"/>
    </row>
    <row r="237" spans="1:18" x14ac:dyDescent="0.45">
      <c r="A237">
        <f t="shared" si="6"/>
        <v>179</v>
      </c>
      <c r="B237" t="str">
        <f>VLOOKUP("project_id",ProjectHeaderInfoTalbe[],2,FALSE)&amp;"-"&amp;"T"&amp;TEXT(TaskListTable[[#This Row],[no]],"000")</f>
        <v>PJ-CATEGORY-FY-SEQ-T179</v>
      </c>
      <c r="C237" s="8"/>
      <c r="D237" s="8"/>
      <c r="E237" s="8"/>
      <c r="F237" s="8"/>
      <c r="G237" s="9"/>
      <c r="H237" s="9"/>
      <c r="I237" s="8"/>
      <c r="J237" s="8"/>
      <c r="K237" s="8"/>
      <c r="L237" s="8"/>
      <c r="M237" s="9"/>
      <c r="N237" s="8"/>
      <c r="O237" s="8"/>
      <c r="P237" t="str">
        <f>IF(TaskListTable[[#This Row],[last_update]]&gt;VLOOKUP("LAST-MTG-DATE",DEF_Parameter!$A$3:$D$102,4,FALSE),"YES","")</f>
        <v/>
      </c>
      <c r="Q237"/>
      <c r="R237"/>
    </row>
    <row r="238" spans="1:18" x14ac:dyDescent="0.45">
      <c r="A238">
        <f t="shared" si="6"/>
        <v>180</v>
      </c>
      <c r="B238" t="str">
        <f>VLOOKUP("project_id",ProjectHeaderInfoTalbe[],2,FALSE)&amp;"-"&amp;"T"&amp;TEXT(TaskListTable[[#This Row],[no]],"000")</f>
        <v>PJ-CATEGORY-FY-SEQ-T180</v>
      </c>
      <c r="C238" s="8"/>
      <c r="D238" s="8"/>
      <c r="E238" s="8"/>
      <c r="F238" s="8"/>
      <c r="G238" s="9"/>
      <c r="H238" s="9"/>
      <c r="I238" s="8"/>
      <c r="J238" s="8"/>
      <c r="K238" s="8"/>
      <c r="L238" s="8"/>
      <c r="M238" s="9"/>
      <c r="N238" s="8"/>
      <c r="O238" s="8"/>
      <c r="P238" t="str">
        <f>IF(TaskListTable[[#This Row],[last_update]]&gt;VLOOKUP("LAST-MTG-DATE",DEF_Parameter!$A$3:$D$102,4,FALSE),"YES","")</f>
        <v/>
      </c>
      <c r="Q238"/>
      <c r="R238"/>
    </row>
    <row r="239" spans="1:18" x14ac:dyDescent="0.45">
      <c r="A239">
        <f t="shared" si="6"/>
        <v>181</v>
      </c>
      <c r="B239" t="str">
        <f>VLOOKUP("project_id",ProjectHeaderInfoTalbe[],2,FALSE)&amp;"-"&amp;"T"&amp;TEXT(TaskListTable[[#This Row],[no]],"000")</f>
        <v>PJ-CATEGORY-FY-SEQ-T181</v>
      </c>
      <c r="C239" s="8"/>
      <c r="D239" s="8"/>
      <c r="E239" s="8"/>
      <c r="F239" s="8"/>
      <c r="G239" s="9"/>
      <c r="H239" s="9"/>
      <c r="I239" s="8"/>
      <c r="J239" s="8"/>
      <c r="K239" s="8"/>
      <c r="L239" s="8"/>
      <c r="M239" s="9"/>
      <c r="N239" s="8"/>
      <c r="O239" s="8"/>
      <c r="P239" t="str">
        <f>IF(TaskListTable[[#This Row],[last_update]]&gt;VLOOKUP("LAST-MTG-DATE",DEF_Parameter!$A$3:$D$102,4,FALSE),"YES","")</f>
        <v/>
      </c>
      <c r="Q239"/>
      <c r="R239"/>
    </row>
    <row r="240" spans="1:18" x14ac:dyDescent="0.45">
      <c r="A240">
        <f t="shared" si="6"/>
        <v>182</v>
      </c>
      <c r="B240" t="str">
        <f>VLOOKUP("project_id",ProjectHeaderInfoTalbe[],2,FALSE)&amp;"-"&amp;"T"&amp;TEXT(TaskListTable[[#This Row],[no]],"000")</f>
        <v>PJ-CATEGORY-FY-SEQ-T182</v>
      </c>
      <c r="C240" s="8"/>
      <c r="D240" s="8"/>
      <c r="E240" s="8"/>
      <c r="F240" s="8"/>
      <c r="G240" s="9"/>
      <c r="H240" s="9"/>
      <c r="I240" s="8"/>
      <c r="J240" s="8"/>
      <c r="K240" s="8"/>
      <c r="L240" s="8"/>
      <c r="M240" s="9"/>
      <c r="N240" s="8"/>
      <c r="O240" s="8"/>
      <c r="P240" t="str">
        <f>IF(TaskListTable[[#This Row],[last_update]]&gt;VLOOKUP("LAST-MTG-DATE",DEF_Parameter!$A$3:$D$102,4,FALSE),"YES","")</f>
        <v/>
      </c>
      <c r="Q240"/>
      <c r="R240"/>
    </row>
    <row r="241" spans="1:18" x14ac:dyDescent="0.45">
      <c r="A241">
        <f t="shared" si="6"/>
        <v>183</v>
      </c>
      <c r="B241" t="str">
        <f>VLOOKUP("project_id",ProjectHeaderInfoTalbe[],2,FALSE)&amp;"-"&amp;"T"&amp;TEXT(TaskListTable[[#This Row],[no]],"000")</f>
        <v>PJ-CATEGORY-FY-SEQ-T183</v>
      </c>
      <c r="C241" s="8"/>
      <c r="D241" s="8"/>
      <c r="E241" s="8"/>
      <c r="F241" s="8"/>
      <c r="G241" s="9"/>
      <c r="H241" s="9"/>
      <c r="I241" s="8"/>
      <c r="J241" s="8"/>
      <c r="K241" s="8"/>
      <c r="L241" s="8"/>
      <c r="M241" s="9"/>
      <c r="N241" s="8"/>
      <c r="O241" s="8"/>
      <c r="P241" t="str">
        <f>IF(TaskListTable[[#This Row],[last_update]]&gt;VLOOKUP("LAST-MTG-DATE",DEF_Parameter!$A$3:$D$102,4,FALSE),"YES","")</f>
        <v/>
      </c>
      <c r="Q241"/>
      <c r="R241"/>
    </row>
    <row r="242" spans="1:18" x14ac:dyDescent="0.45">
      <c r="A242">
        <f t="shared" si="6"/>
        <v>184</v>
      </c>
      <c r="B242" t="str">
        <f>VLOOKUP("project_id",ProjectHeaderInfoTalbe[],2,FALSE)&amp;"-"&amp;"T"&amp;TEXT(TaskListTable[[#This Row],[no]],"000")</f>
        <v>PJ-CATEGORY-FY-SEQ-T184</v>
      </c>
      <c r="C242" s="8"/>
      <c r="D242" s="8"/>
      <c r="E242" s="8"/>
      <c r="F242" s="8"/>
      <c r="G242" s="9"/>
      <c r="H242" s="9"/>
      <c r="I242" s="8"/>
      <c r="J242" s="8"/>
      <c r="K242" s="8"/>
      <c r="L242" s="8"/>
      <c r="M242" s="9"/>
      <c r="N242" s="8"/>
      <c r="O242" s="8"/>
      <c r="P242" t="str">
        <f>IF(TaskListTable[[#This Row],[last_update]]&gt;VLOOKUP("LAST-MTG-DATE",DEF_Parameter!$A$3:$D$102,4,FALSE),"YES","")</f>
        <v/>
      </c>
      <c r="Q242"/>
      <c r="R242"/>
    </row>
    <row r="243" spans="1:18" x14ac:dyDescent="0.45">
      <c r="A243">
        <f t="shared" si="6"/>
        <v>185</v>
      </c>
      <c r="B243" t="str">
        <f>VLOOKUP("project_id",ProjectHeaderInfoTalbe[],2,FALSE)&amp;"-"&amp;"T"&amp;TEXT(TaskListTable[[#This Row],[no]],"000")</f>
        <v>PJ-CATEGORY-FY-SEQ-T185</v>
      </c>
      <c r="C243" s="8"/>
      <c r="D243" s="8"/>
      <c r="E243" s="8"/>
      <c r="F243" s="8"/>
      <c r="G243" s="9"/>
      <c r="H243" s="9"/>
      <c r="I243" s="8"/>
      <c r="J243" s="8"/>
      <c r="K243" s="8"/>
      <c r="L243" s="8"/>
      <c r="M243" s="9"/>
      <c r="N243" s="8"/>
      <c r="O243" s="8"/>
      <c r="P243" t="str">
        <f>IF(TaskListTable[[#This Row],[last_update]]&gt;VLOOKUP("LAST-MTG-DATE",DEF_Parameter!$A$3:$D$102,4,FALSE),"YES","")</f>
        <v/>
      </c>
      <c r="Q243"/>
      <c r="R243"/>
    </row>
    <row r="244" spans="1:18" x14ac:dyDescent="0.45">
      <c r="A244">
        <f t="shared" si="6"/>
        <v>186</v>
      </c>
      <c r="B244" t="str">
        <f>VLOOKUP("project_id",ProjectHeaderInfoTalbe[],2,FALSE)&amp;"-"&amp;"T"&amp;TEXT(TaskListTable[[#This Row],[no]],"000")</f>
        <v>PJ-CATEGORY-FY-SEQ-T186</v>
      </c>
      <c r="C244" s="8"/>
      <c r="D244" s="8"/>
      <c r="E244" s="8"/>
      <c r="F244" s="8"/>
      <c r="G244" s="9"/>
      <c r="H244" s="9"/>
      <c r="I244" s="8"/>
      <c r="J244" s="8"/>
      <c r="K244" s="8"/>
      <c r="L244" s="8"/>
      <c r="M244" s="9"/>
      <c r="N244" s="8"/>
      <c r="O244" s="8"/>
      <c r="P244" t="str">
        <f>IF(TaskListTable[[#This Row],[last_update]]&gt;VLOOKUP("LAST-MTG-DATE",DEF_Parameter!$A$3:$D$102,4,FALSE),"YES","")</f>
        <v/>
      </c>
      <c r="Q244"/>
      <c r="R244"/>
    </row>
    <row r="245" spans="1:18" x14ac:dyDescent="0.45">
      <c r="A245">
        <f t="shared" si="6"/>
        <v>187</v>
      </c>
      <c r="B245" t="str">
        <f>VLOOKUP("project_id",ProjectHeaderInfoTalbe[],2,FALSE)&amp;"-"&amp;"T"&amp;TEXT(TaskListTable[[#This Row],[no]],"000")</f>
        <v>PJ-CATEGORY-FY-SEQ-T187</v>
      </c>
      <c r="C245" s="8"/>
      <c r="D245" s="8"/>
      <c r="E245" s="8"/>
      <c r="F245" s="8"/>
      <c r="G245" s="9"/>
      <c r="H245" s="9"/>
      <c r="I245" s="8"/>
      <c r="J245" s="8"/>
      <c r="K245" s="8"/>
      <c r="L245" s="8"/>
      <c r="M245" s="9"/>
      <c r="N245" s="8"/>
      <c r="O245" s="8"/>
      <c r="P245" t="str">
        <f>IF(TaskListTable[[#This Row],[last_update]]&gt;VLOOKUP("LAST-MTG-DATE",DEF_Parameter!$A$3:$D$102,4,FALSE),"YES","")</f>
        <v/>
      </c>
      <c r="Q245"/>
      <c r="R245"/>
    </row>
    <row r="246" spans="1:18" x14ac:dyDescent="0.45">
      <c r="A246">
        <f t="shared" si="6"/>
        <v>188</v>
      </c>
      <c r="B246" t="str">
        <f>VLOOKUP("project_id",ProjectHeaderInfoTalbe[],2,FALSE)&amp;"-"&amp;"T"&amp;TEXT(TaskListTable[[#This Row],[no]],"000")</f>
        <v>PJ-CATEGORY-FY-SEQ-T188</v>
      </c>
      <c r="C246" s="8"/>
      <c r="D246" s="8"/>
      <c r="E246" s="8"/>
      <c r="F246" s="8"/>
      <c r="G246" s="9"/>
      <c r="H246" s="9"/>
      <c r="I246" s="8"/>
      <c r="J246" s="8"/>
      <c r="K246" s="8"/>
      <c r="L246" s="8"/>
      <c r="M246" s="9"/>
      <c r="N246" s="8"/>
      <c r="O246" s="8"/>
      <c r="P246" t="str">
        <f>IF(TaskListTable[[#This Row],[last_update]]&gt;VLOOKUP("LAST-MTG-DATE",DEF_Parameter!$A$3:$D$102,4,FALSE),"YES","")</f>
        <v/>
      </c>
      <c r="Q246"/>
      <c r="R246"/>
    </row>
    <row r="247" spans="1:18" x14ac:dyDescent="0.45">
      <c r="A247">
        <f t="shared" si="6"/>
        <v>189</v>
      </c>
      <c r="B247" t="str">
        <f>VLOOKUP("project_id",ProjectHeaderInfoTalbe[],2,FALSE)&amp;"-"&amp;"T"&amp;TEXT(TaskListTable[[#This Row],[no]],"000")</f>
        <v>PJ-CATEGORY-FY-SEQ-T189</v>
      </c>
      <c r="C247" s="8"/>
      <c r="D247" s="8"/>
      <c r="E247" s="8"/>
      <c r="F247" s="8"/>
      <c r="G247" s="9"/>
      <c r="H247" s="9"/>
      <c r="I247" s="8"/>
      <c r="J247" s="8"/>
      <c r="K247" s="8"/>
      <c r="L247" s="8"/>
      <c r="M247" s="9"/>
      <c r="N247" s="8"/>
      <c r="O247" s="8"/>
      <c r="P247" t="str">
        <f>IF(TaskListTable[[#This Row],[last_update]]&gt;VLOOKUP("LAST-MTG-DATE",DEF_Parameter!$A$3:$D$102,4,FALSE),"YES","")</f>
        <v/>
      </c>
      <c r="Q247"/>
      <c r="R247"/>
    </row>
    <row r="248" spans="1:18" x14ac:dyDescent="0.45">
      <c r="A248">
        <f t="shared" si="6"/>
        <v>190</v>
      </c>
      <c r="B248" t="str">
        <f>VLOOKUP("project_id",ProjectHeaderInfoTalbe[],2,FALSE)&amp;"-"&amp;"T"&amp;TEXT(TaskListTable[[#This Row],[no]],"000")</f>
        <v>PJ-CATEGORY-FY-SEQ-T190</v>
      </c>
      <c r="C248" s="8"/>
      <c r="D248" s="8"/>
      <c r="E248" s="8"/>
      <c r="F248" s="8"/>
      <c r="G248" s="9"/>
      <c r="H248" s="9"/>
      <c r="I248" s="8"/>
      <c r="J248" s="8"/>
      <c r="K248" s="8"/>
      <c r="L248" s="8"/>
      <c r="M248" s="9"/>
      <c r="N248" s="8"/>
      <c r="O248" s="8"/>
      <c r="P248" t="str">
        <f>IF(TaskListTable[[#This Row],[last_update]]&gt;VLOOKUP("LAST-MTG-DATE",DEF_Parameter!$A$3:$D$102,4,FALSE),"YES","")</f>
        <v/>
      </c>
      <c r="Q248"/>
      <c r="R248"/>
    </row>
    <row r="249" spans="1:18" x14ac:dyDescent="0.45">
      <c r="A249">
        <f t="shared" si="6"/>
        <v>191</v>
      </c>
      <c r="B249" t="str">
        <f>VLOOKUP("project_id",ProjectHeaderInfoTalbe[],2,FALSE)&amp;"-"&amp;"T"&amp;TEXT(TaskListTable[[#This Row],[no]],"000")</f>
        <v>PJ-CATEGORY-FY-SEQ-T191</v>
      </c>
      <c r="C249" s="8"/>
      <c r="D249" s="8"/>
      <c r="E249" s="8"/>
      <c r="F249" s="8"/>
      <c r="G249" s="9"/>
      <c r="H249" s="9"/>
      <c r="I249" s="8"/>
      <c r="J249" s="8"/>
      <c r="K249" s="8"/>
      <c r="L249" s="8"/>
      <c r="M249" s="9"/>
      <c r="N249" s="8"/>
      <c r="O249" s="8"/>
      <c r="P249" t="str">
        <f>IF(TaskListTable[[#This Row],[last_update]]&gt;VLOOKUP("LAST-MTG-DATE",DEF_Parameter!$A$3:$D$102,4,FALSE),"YES","")</f>
        <v/>
      </c>
      <c r="Q249"/>
      <c r="R249"/>
    </row>
    <row r="250" spans="1:18" x14ac:dyDescent="0.45">
      <c r="A250">
        <f t="shared" si="6"/>
        <v>192</v>
      </c>
      <c r="B250" t="str">
        <f>VLOOKUP("project_id",ProjectHeaderInfoTalbe[],2,FALSE)&amp;"-"&amp;"T"&amp;TEXT(TaskListTable[[#This Row],[no]],"000")</f>
        <v>PJ-CATEGORY-FY-SEQ-T192</v>
      </c>
      <c r="C250" s="8"/>
      <c r="D250" s="8"/>
      <c r="E250" s="8"/>
      <c r="F250" s="8"/>
      <c r="G250" s="9"/>
      <c r="H250" s="9"/>
      <c r="I250" s="8"/>
      <c r="J250" s="8"/>
      <c r="K250" s="8"/>
      <c r="L250" s="8"/>
      <c r="M250" s="9"/>
      <c r="N250" s="8"/>
      <c r="O250" s="8"/>
      <c r="P250" t="str">
        <f>IF(TaskListTable[[#This Row],[last_update]]&gt;VLOOKUP("LAST-MTG-DATE",DEF_Parameter!$A$3:$D$102,4,FALSE),"YES","")</f>
        <v/>
      </c>
      <c r="Q250"/>
      <c r="R250"/>
    </row>
    <row r="251" spans="1:18" x14ac:dyDescent="0.45">
      <c r="A251">
        <f t="shared" si="6"/>
        <v>193</v>
      </c>
      <c r="B251" t="str">
        <f>VLOOKUP("project_id",ProjectHeaderInfoTalbe[],2,FALSE)&amp;"-"&amp;"T"&amp;TEXT(TaskListTable[[#This Row],[no]],"000")</f>
        <v>PJ-CATEGORY-FY-SEQ-T193</v>
      </c>
      <c r="C251" s="8"/>
      <c r="D251" s="8"/>
      <c r="E251" s="8"/>
      <c r="F251" s="8"/>
      <c r="G251" s="9"/>
      <c r="H251" s="9"/>
      <c r="I251" s="8"/>
      <c r="J251" s="8"/>
      <c r="K251" s="8"/>
      <c r="L251" s="8"/>
      <c r="M251" s="9"/>
      <c r="N251" s="8"/>
      <c r="O251" s="8"/>
      <c r="P251" t="str">
        <f>IF(TaskListTable[[#This Row],[last_update]]&gt;VLOOKUP("LAST-MTG-DATE",DEF_Parameter!$A$3:$D$102,4,FALSE),"YES","")</f>
        <v/>
      </c>
      <c r="Q251"/>
      <c r="R251"/>
    </row>
    <row r="252" spans="1:18" x14ac:dyDescent="0.45">
      <c r="A252">
        <f t="shared" ref="A252:A258" si="7">A251+1</f>
        <v>194</v>
      </c>
      <c r="B252" t="str">
        <f>VLOOKUP("project_id",ProjectHeaderInfoTalbe[],2,FALSE)&amp;"-"&amp;"T"&amp;TEXT(TaskListTable[[#This Row],[no]],"000")</f>
        <v>PJ-CATEGORY-FY-SEQ-T194</v>
      </c>
      <c r="C252" s="8"/>
      <c r="D252" s="8"/>
      <c r="E252" s="8"/>
      <c r="F252" s="8"/>
      <c r="G252" s="9"/>
      <c r="H252" s="9"/>
      <c r="I252" s="8"/>
      <c r="J252" s="8"/>
      <c r="K252" s="8"/>
      <c r="L252" s="8"/>
      <c r="M252" s="9"/>
      <c r="N252" s="8"/>
      <c r="O252" s="8"/>
      <c r="P252" t="str">
        <f>IF(TaskListTable[[#This Row],[last_update]]&gt;VLOOKUP("LAST-MTG-DATE",DEF_Parameter!$A$3:$D$102,4,FALSE),"YES","")</f>
        <v/>
      </c>
      <c r="Q252"/>
      <c r="R252"/>
    </row>
    <row r="253" spans="1:18" x14ac:dyDescent="0.45">
      <c r="A253">
        <f t="shared" si="7"/>
        <v>195</v>
      </c>
      <c r="B253" t="str">
        <f>VLOOKUP("project_id",ProjectHeaderInfoTalbe[],2,FALSE)&amp;"-"&amp;"T"&amp;TEXT(TaskListTable[[#This Row],[no]],"000")</f>
        <v>PJ-CATEGORY-FY-SEQ-T195</v>
      </c>
      <c r="C253" s="8"/>
      <c r="D253" s="8"/>
      <c r="E253" s="8"/>
      <c r="F253" s="8"/>
      <c r="G253" s="9"/>
      <c r="H253" s="9"/>
      <c r="I253" s="8"/>
      <c r="J253" s="8"/>
      <c r="K253" s="8"/>
      <c r="L253" s="8"/>
      <c r="M253" s="9"/>
      <c r="N253" s="8"/>
      <c r="O253" s="8"/>
      <c r="P253" t="str">
        <f>IF(TaskListTable[[#This Row],[last_update]]&gt;VLOOKUP("LAST-MTG-DATE",DEF_Parameter!$A$3:$D$102,4,FALSE),"YES","")</f>
        <v/>
      </c>
      <c r="Q253"/>
      <c r="R253"/>
    </row>
    <row r="254" spans="1:18" x14ac:dyDescent="0.45">
      <c r="A254">
        <f t="shared" si="7"/>
        <v>196</v>
      </c>
      <c r="B254" t="str">
        <f>VLOOKUP("project_id",ProjectHeaderInfoTalbe[],2,FALSE)&amp;"-"&amp;"T"&amp;TEXT(TaskListTable[[#This Row],[no]],"000")</f>
        <v>PJ-CATEGORY-FY-SEQ-T196</v>
      </c>
      <c r="C254" s="8"/>
      <c r="D254" s="8"/>
      <c r="E254" s="8"/>
      <c r="F254" s="8"/>
      <c r="G254" s="9"/>
      <c r="H254" s="9"/>
      <c r="I254" s="8"/>
      <c r="J254" s="8"/>
      <c r="K254" s="8"/>
      <c r="L254" s="8"/>
      <c r="M254" s="9"/>
      <c r="N254" s="8"/>
      <c r="O254" s="8"/>
      <c r="P254" t="str">
        <f>IF(TaskListTable[[#This Row],[last_update]]&gt;VLOOKUP("LAST-MTG-DATE",DEF_Parameter!$A$3:$D$102,4,FALSE),"YES","")</f>
        <v/>
      </c>
      <c r="Q254"/>
      <c r="R254"/>
    </row>
    <row r="255" spans="1:18" x14ac:dyDescent="0.45">
      <c r="A255">
        <f t="shared" si="7"/>
        <v>197</v>
      </c>
      <c r="B255" t="str">
        <f>VLOOKUP("project_id",ProjectHeaderInfoTalbe[],2,FALSE)&amp;"-"&amp;"T"&amp;TEXT(TaskListTable[[#This Row],[no]],"000")</f>
        <v>PJ-CATEGORY-FY-SEQ-T197</v>
      </c>
      <c r="C255" s="8"/>
      <c r="D255" s="8"/>
      <c r="E255" s="8"/>
      <c r="F255" s="8"/>
      <c r="G255" s="9"/>
      <c r="H255" s="9"/>
      <c r="I255" s="8"/>
      <c r="J255" s="8"/>
      <c r="K255" s="8"/>
      <c r="L255" s="8"/>
      <c r="M255" s="9"/>
      <c r="N255" s="8"/>
      <c r="O255" s="8"/>
      <c r="P255" t="str">
        <f>IF(TaskListTable[[#This Row],[last_update]]&gt;VLOOKUP("LAST-MTG-DATE",DEF_Parameter!$A$3:$D$102,4,FALSE),"YES","")</f>
        <v/>
      </c>
      <c r="Q255"/>
      <c r="R255"/>
    </row>
    <row r="256" spans="1:18" x14ac:dyDescent="0.45">
      <c r="A256">
        <f t="shared" si="7"/>
        <v>198</v>
      </c>
      <c r="B256" t="str">
        <f>VLOOKUP("project_id",ProjectHeaderInfoTalbe[],2,FALSE)&amp;"-"&amp;"T"&amp;TEXT(TaskListTable[[#This Row],[no]],"000")</f>
        <v>PJ-CATEGORY-FY-SEQ-T198</v>
      </c>
      <c r="C256" s="8"/>
      <c r="D256" s="8"/>
      <c r="E256" s="8"/>
      <c r="F256" s="8"/>
      <c r="G256" s="9"/>
      <c r="H256" s="9"/>
      <c r="I256" s="8"/>
      <c r="J256" s="8"/>
      <c r="K256" s="8"/>
      <c r="L256" s="8"/>
      <c r="M256" s="9"/>
      <c r="N256" s="8"/>
      <c r="O256" s="8"/>
      <c r="P256" t="str">
        <f>IF(TaskListTable[[#This Row],[last_update]]&gt;VLOOKUP("LAST-MTG-DATE",DEF_Parameter!$A$3:$D$102,4,FALSE),"YES","")</f>
        <v/>
      </c>
      <c r="Q256"/>
      <c r="R256"/>
    </row>
    <row r="257" spans="1:18" x14ac:dyDescent="0.45">
      <c r="A257">
        <f t="shared" si="7"/>
        <v>199</v>
      </c>
      <c r="B257" t="str">
        <f>VLOOKUP("project_id",ProjectHeaderInfoTalbe[],2,FALSE)&amp;"-"&amp;"T"&amp;TEXT(TaskListTable[[#This Row],[no]],"000")</f>
        <v>PJ-CATEGORY-FY-SEQ-T199</v>
      </c>
      <c r="C257" s="8"/>
      <c r="D257" s="8"/>
      <c r="E257" s="8"/>
      <c r="F257" s="8"/>
      <c r="G257" s="9"/>
      <c r="H257" s="9"/>
      <c r="I257" s="8"/>
      <c r="J257" s="8"/>
      <c r="K257" s="8"/>
      <c r="L257" s="8"/>
      <c r="M257" s="9"/>
      <c r="N257" s="8"/>
      <c r="O257" s="8"/>
      <c r="P257" t="str">
        <f>IF(TaskListTable[[#This Row],[last_update]]&gt;VLOOKUP("LAST-MTG-DATE",DEF_Parameter!$A$3:$D$102,4,FALSE),"YES","")</f>
        <v/>
      </c>
      <c r="Q257"/>
      <c r="R257"/>
    </row>
    <row r="258" spans="1:18" x14ac:dyDescent="0.45">
      <c r="A258">
        <f t="shared" si="7"/>
        <v>200</v>
      </c>
      <c r="B258" t="str">
        <f>VLOOKUP("project_id",ProjectHeaderInfoTalbe[],2,FALSE)&amp;"-"&amp;"T"&amp;TEXT(TaskListTable[[#This Row],[no]],"000")</f>
        <v>PJ-CATEGORY-FY-SEQ-T200</v>
      </c>
      <c r="C258" s="8"/>
      <c r="D258" s="8"/>
      <c r="E258" s="8"/>
      <c r="F258" s="8"/>
      <c r="G258" s="9"/>
      <c r="H258" s="9"/>
      <c r="I258" s="8"/>
      <c r="J258" s="8"/>
      <c r="K258" s="8"/>
      <c r="L258" s="8"/>
      <c r="M258" s="9"/>
      <c r="N258" s="8"/>
      <c r="O258" s="8"/>
      <c r="P258" t="str">
        <f>IF(TaskListTable[[#This Row],[last_update]]&gt;VLOOKUP("LAST-MTG-DATE",DEF_Parameter!$A$3:$D$102,4,FALSE),"YES","")</f>
        <v/>
      </c>
      <c r="Q258"/>
      <c r="R258"/>
    </row>
  </sheetData>
  <phoneticPr fontId="3"/>
  <conditionalFormatting sqref="A59:P258">
    <cfRule type="expression" dxfId="15" priority="9">
      <formula>AND(   NOT(ISBLANK($H59)),   $H59&lt;= TODAY(), $I59&lt;&gt; "Done")</formula>
    </cfRule>
    <cfRule type="expression" dxfId="14" priority="10">
      <formula>AND(   NOT(ISBLANK($H59)),   $H59&lt; TODAY()+2, $I59&lt;&gt; "Done")</formula>
    </cfRule>
    <cfRule type="expression" dxfId="13" priority="11">
      <formula>$P59="YES"</formula>
    </cfRule>
    <cfRule type="expression" dxfId="12" priority="12">
      <formula>$K59="Done"</formula>
    </cfRule>
  </conditionalFormatting>
  <dataValidations disablePrompts="1" count="9">
    <dataValidation type="list" allowBlank="1" showInputMessage="1" showErrorMessage="1" sqref="L59:L258" xr:uid="{00000000-0002-0000-0600-000000000000}">
      <formula1>lstDoD_check</formula1>
    </dataValidation>
    <dataValidation type="list" allowBlank="1" showInputMessage="1" showErrorMessage="1" sqref="K59:K258" xr:uid="{00000000-0002-0000-0600-000001000000}">
      <formula1>lstStroryPoint</formula1>
    </dataValidation>
    <dataValidation type="list" allowBlank="1" showInputMessage="1" showErrorMessage="1" sqref="I59:I258" xr:uid="{00000000-0002-0000-0600-000002000000}">
      <formula1>lstKanbanStatus</formula1>
    </dataValidation>
    <dataValidation type="list" allowBlank="1" showInputMessage="1" showErrorMessage="1" sqref="B10 J59:J258" xr:uid="{00000000-0002-0000-0600-000003000000}">
      <formula1>lstMoSCoW</formula1>
    </dataValidation>
    <dataValidation type="list" allowBlank="1" showInputMessage="1" showErrorMessage="1" sqref="E59:F258" xr:uid="{00000000-0002-0000-0600-000004000000}">
      <formula1>lstOwner</formula1>
    </dataValidation>
    <dataValidation type="list" allowBlank="1" showInputMessage="1" showErrorMessage="1" sqref="B7" xr:uid="{00000000-0002-0000-0600-000005000000}">
      <formula1>lstSheetRole</formula1>
    </dataValidation>
    <dataValidation type="list" allowBlank="1" showInputMessage="1" showErrorMessage="1" sqref="B5" xr:uid="{00000000-0002-0000-0600-000006000000}">
      <formula1>lstProjectCategory</formula1>
    </dataValidation>
    <dataValidation type="list" allowBlank="1" showInputMessage="1" showErrorMessage="1" sqref="B17" xr:uid="{00000000-0002-0000-0600-000007000000}">
      <formula1>"active,paused,done"</formula1>
    </dataValidation>
    <dataValidation type="date" allowBlank="1" showInputMessage="1" showErrorMessage="1" sqref="G59:H258" xr:uid="{BDB99DB6-CC28-4BE4-B010-B093AF303BE7}">
      <formula1>36526</formula1>
      <formula2>401768</formula2>
    </dataValidation>
  </dataValidations>
  <hyperlinks>
    <hyperlink ref="B1" location="UI_Index!A1" display="&lt;-Index" xr:uid="{00000000-0004-0000-0600-000000000000}"/>
    <hyperlink ref="C1" location="UI_ProjectIndex!A1" display="&lt;-ProjectIndex" xr:uid="{00000000-0004-0000-0600-000001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22</xdr:row>
                    <xdr:rowOff>236220</xdr:rowOff>
                  </from>
                  <to>
                    <xdr:col>4</xdr:col>
                    <xdr:colOff>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R262"/>
  <sheetViews>
    <sheetView zoomScale="85" zoomScaleNormal="85" workbookViewId="0">
      <pane xSplit="2" ySplit="3" topLeftCell="C29" activePane="bottomRight" state="frozen"/>
      <selection activeCell="F14" sqref="F14"/>
      <selection pane="topRight" activeCell="F14" sqref="F14"/>
      <selection pane="bottomLeft" activeCell="F14" sqref="F14"/>
      <selection pane="bottomRight" activeCell="M36" sqref="M36"/>
    </sheetView>
  </sheetViews>
  <sheetFormatPr defaultRowHeight="18" x14ac:dyDescent="0.45"/>
  <cols>
    <col min="1" max="1" width="16.5" style="1" customWidth="1"/>
    <col min="2" max="2" width="18.19921875" style="1" customWidth="1"/>
    <col min="3" max="3" width="37.59765625" style="1" bestFit="1" customWidth="1"/>
    <col min="4" max="4" width="26.796875" style="1" customWidth="1"/>
    <col min="5" max="5" width="24" style="1" bestFit="1" customWidth="1"/>
    <col min="6" max="6" width="39.296875" style="1" bestFit="1" customWidth="1"/>
    <col min="7" max="7" width="18" style="1" bestFit="1" customWidth="1"/>
    <col min="8" max="8" width="20.59765625" style="1" bestFit="1" customWidth="1"/>
    <col min="9" max="9" width="16.5" style="1" customWidth="1"/>
    <col min="10" max="10" width="18.5" style="1" customWidth="1"/>
    <col min="11" max="12" width="12.796875" style="1" customWidth="1"/>
    <col min="13" max="13" width="11.796875" style="1" customWidth="1"/>
    <col min="14" max="14" width="12.296875" style="1" bestFit="1" customWidth="1"/>
    <col min="15" max="16" width="13.296875" style="1" customWidth="1"/>
  </cols>
  <sheetData>
    <row r="1" spans="1:4" x14ac:dyDescent="0.45">
      <c r="A1" t="s">
        <v>45</v>
      </c>
      <c r="B1" s="2" t="s">
        <v>72</v>
      </c>
    </row>
    <row r="2" spans="1:4" x14ac:dyDescent="0.45">
      <c r="A2" s="6" t="s">
        <v>0</v>
      </c>
      <c r="B2" s="6" t="s">
        <v>1</v>
      </c>
    </row>
    <row r="3" spans="1:4" x14ac:dyDescent="0.45">
      <c r="A3" s="6" t="s">
        <v>9</v>
      </c>
      <c r="B3" s="6"/>
    </row>
    <row r="4" spans="1:4" x14ac:dyDescent="0.45">
      <c r="A4" s="6" t="s">
        <v>2</v>
      </c>
      <c r="B4" s="6" t="s">
        <v>3</v>
      </c>
    </row>
    <row r="5" spans="1:4" x14ac:dyDescent="0.45">
      <c r="A5" s="6" t="s">
        <v>7</v>
      </c>
      <c r="B5" s="6" t="s">
        <v>71</v>
      </c>
    </row>
    <row r="6" spans="1:4" x14ac:dyDescent="0.45">
      <c r="A6" s="6" t="s">
        <v>61</v>
      </c>
      <c r="B6" s="7">
        <f>MAX(O63:O262)</f>
        <v>0</v>
      </c>
    </row>
    <row r="7" spans="1:4" x14ac:dyDescent="0.45">
      <c r="A7" s="6" t="s">
        <v>4</v>
      </c>
      <c r="B7" s="13" t="s">
        <v>32</v>
      </c>
    </row>
    <row r="8" spans="1:4" x14ac:dyDescent="0.45">
      <c r="A8" s="6" t="s">
        <v>62</v>
      </c>
      <c r="B8" s="6" t="str">
        <f>IF(COUNTIF(P63:P262,"YES"),"YES","")</f>
        <v/>
      </c>
    </row>
    <row r="11" spans="1:4" x14ac:dyDescent="0.45">
      <c r="A11" t="s">
        <v>16</v>
      </c>
    </row>
    <row r="12" spans="1:4" x14ac:dyDescent="0.45">
      <c r="A12" t="s">
        <v>17</v>
      </c>
      <c r="B12" t="s">
        <v>18</v>
      </c>
      <c r="C12" t="s">
        <v>81</v>
      </c>
      <c r="D12" t="s">
        <v>82</v>
      </c>
    </row>
    <row r="13" spans="1:4" x14ac:dyDescent="0.45">
      <c r="A13">
        <v>1</v>
      </c>
      <c r="B13" t="s">
        <v>83</v>
      </c>
      <c r="C13" t="s">
        <v>84</v>
      </c>
      <c r="D13" t="s">
        <v>85</v>
      </c>
    </row>
    <row r="14" spans="1:4" x14ac:dyDescent="0.45">
      <c r="A14">
        <v>2</v>
      </c>
      <c r="B14" t="s">
        <v>130</v>
      </c>
      <c r="C14" t="s">
        <v>131</v>
      </c>
    </row>
    <row r="15" spans="1:4" x14ac:dyDescent="0.45">
      <c r="A15">
        <v>3</v>
      </c>
    </row>
    <row r="18" spans="1:16" x14ac:dyDescent="0.45">
      <c r="A18" t="s">
        <v>88</v>
      </c>
    </row>
    <row r="19" spans="1:16" x14ac:dyDescent="0.45">
      <c r="A19" t="s">
        <v>55</v>
      </c>
      <c r="B19" t="s">
        <v>89</v>
      </c>
      <c r="C19" t="s">
        <v>90</v>
      </c>
      <c r="D19" t="s">
        <v>91</v>
      </c>
    </row>
    <row r="20" spans="1:16" x14ac:dyDescent="0.45">
      <c r="A20" t="s">
        <v>92</v>
      </c>
      <c r="B20">
        <f>COUNTIF(TaskListTable[Kanban_Status],ParsonalStatusRatioTable[[#This Row],[Kanban_Status]])</f>
        <v>0</v>
      </c>
      <c r="C20">
        <f>SUMIF(
  TaskListTable[Kanban_Status],
  ParsonalStatusRatioTable[[#This Row],[Kanban_Status]],
  TaskListTable[story_point]
)</f>
        <v>0</v>
      </c>
      <c r="D20" s="5" t="str">
        <f ca="1">IFERROR(ParsonalStatusRatioTable[[#This Row],[estimated_time_total]]/$C$27,"")</f>
        <v/>
      </c>
    </row>
    <row r="21" spans="1:16" x14ac:dyDescent="0.45">
      <c r="A21" t="s">
        <v>93</v>
      </c>
      <c r="B21">
        <f>COUNTIF($I$63:$I$162,A21)</f>
        <v>0</v>
      </c>
      <c r="C21">
        <f ca="1">SUMIF($I$63:$I$162,A21,K64:K162)</f>
        <v>0</v>
      </c>
      <c r="D21" s="5" t="str">
        <f ca="1">IFERROR(ParsonalStatusRatioTable[[#This Row],[estimated_time_total]]/$C$27,"")</f>
        <v/>
      </c>
    </row>
    <row r="22" spans="1:16" x14ac:dyDescent="0.45">
      <c r="A22" t="s">
        <v>94</v>
      </c>
      <c r="B22">
        <f>COUNTIF($I$63:$I$162,A22)</f>
        <v>0</v>
      </c>
      <c r="C22">
        <f ca="1">SUMIF($I$63:$I$162,A22,K65:K162)</f>
        <v>0</v>
      </c>
      <c r="D22" s="5" t="str">
        <f ca="1">IFERROR(ParsonalStatusRatioTable[[#This Row],[estimated_time_total]]/$C$27,"")</f>
        <v/>
      </c>
    </row>
    <row r="23" spans="1:16" x14ac:dyDescent="0.45">
      <c r="A23" t="s">
        <v>95</v>
      </c>
      <c r="B23">
        <f>COUNTIF($I$63:$I$162,A23)</f>
        <v>0</v>
      </c>
      <c r="C23">
        <f ca="1">SUMIF($I$63:$I$162,A23,K66:K162)</f>
        <v>0</v>
      </c>
      <c r="D23" s="5" t="str">
        <f ca="1">IFERROR(ParsonalStatusRatioTable[[#This Row],[estimated_time_total]]/$C$27,"")</f>
        <v/>
      </c>
    </row>
    <row r="24" spans="1:16" x14ac:dyDescent="0.45">
      <c r="A24" t="s">
        <v>96</v>
      </c>
      <c r="B24">
        <f>COUNTIF($I$63:$I$162,A24)</f>
        <v>0</v>
      </c>
      <c r="C24">
        <f ca="1">SUMIF($I$63:$I$162,A24,K67:K162)</f>
        <v>0</v>
      </c>
      <c r="D24" s="5" t="str">
        <f ca="1">IFERROR(ParsonalStatusRatioTable[[#This Row],[estimated_time_total]]/$C$27,"")</f>
        <v/>
      </c>
    </row>
    <row r="25" spans="1:16" x14ac:dyDescent="0.45">
      <c r="A25" t="s">
        <v>97</v>
      </c>
      <c r="B25">
        <f>COUNTIF($I$63:$I$162,A25)</f>
        <v>0</v>
      </c>
      <c r="C25">
        <f ca="1">SUMIF($I$63:$I$162,A25,K68:K163)</f>
        <v>0</v>
      </c>
      <c r="D25" s="5" t="str">
        <f ca="1">IFERROR(ParsonalStatusRatioTable[[#This Row],[estimated_time_total]]/$C$27,"")</f>
        <v/>
      </c>
    </row>
    <row r="26" spans="1:16" x14ac:dyDescent="0.45">
      <c r="A26" t="s">
        <v>98</v>
      </c>
      <c r="B26">
        <f>COUNTIF($I$63:$I$162,A26)</f>
        <v>0</v>
      </c>
      <c r="C26">
        <f ca="1">SUMIF($I$63:$I$162,A26,K69:K164)</f>
        <v>0</v>
      </c>
      <c r="D26" s="5" t="str">
        <f ca="1">IFERROR(ParsonalStatusRatioTable[[#This Row],[estimated_time_total]]/$C$27,"")</f>
        <v/>
      </c>
    </row>
    <row r="27" spans="1:16" x14ac:dyDescent="0.45">
      <c r="A27" t="s">
        <v>99</v>
      </c>
      <c r="B27">
        <f>SUM(B20:B24)</f>
        <v>0</v>
      </c>
      <c r="C27">
        <f ca="1">SUM(C20:C24)</f>
        <v>0</v>
      </c>
      <c r="D27" s="5">
        <f ca="1">SUM(D20:D24)</f>
        <v>0</v>
      </c>
    </row>
    <row r="31" spans="1:16" x14ac:dyDescent="0.45">
      <c r="A31" t="s">
        <v>100</v>
      </c>
      <c r="B31" t="s">
        <v>101</v>
      </c>
    </row>
    <row r="32" spans="1:16" x14ac:dyDescent="0.45">
      <c r="A32" s="4" t="s">
        <v>17</v>
      </c>
      <c r="B32" s="4" t="s">
        <v>132</v>
      </c>
      <c r="C32" s="4" t="s">
        <v>133</v>
      </c>
      <c r="D32" s="4" t="s">
        <v>4</v>
      </c>
      <c r="E32" s="4" t="s">
        <v>59</v>
      </c>
      <c r="F32" t="s">
        <v>60</v>
      </c>
      <c r="G32" s="4" t="s">
        <v>528</v>
      </c>
      <c r="H32" s="4" t="s">
        <v>79</v>
      </c>
      <c r="P32"/>
    </row>
    <row r="33" spans="1:16" x14ac:dyDescent="0.45">
      <c r="A33" s="28">
        <v>1</v>
      </c>
      <c r="B33" s="8"/>
      <c r="C33" s="8"/>
      <c r="D33" s="8"/>
      <c r="E33" s="8"/>
      <c r="F33" s="8"/>
      <c r="G33" s="24"/>
      <c r="H33" s="24"/>
      <c r="P33"/>
    </row>
    <row r="34" spans="1:16" x14ac:dyDescent="0.45">
      <c r="A34" s="28">
        <f t="shared" ref="A34:A57" si="0">A33+1</f>
        <v>2</v>
      </c>
      <c r="B34" s="8"/>
      <c r="C34" s="8"/>
      <c r="D34" s="8"/>
      <c r="E34" s="8"/>
      <c r="F34" s="8"/>
      <c r="G34" s="24"/>
      <c r="H34" s="24"/>
      <c r="P34"/>
    </row>
    <row r="35" spans="1:16" x14ac:dyDescent="0.45">
      <c r="A35" s="28">
        <f t="shared" si="0"/>
        <v>3</v>
      </c>
      <c r="B35" s="8"/>
      <c r="C35" s="8"/>
      <c r="D35" s="8"/>
      <c r="E35" s="8"/>
      <c r="F35" s="8"/>
      <c r="G35" s="24"/>
      <c r="H35" s="24"/>
      <c r="P35"/>
    </row>
    <row r="36" spans="1:16" x14ac:dyDescent="0.45">
      <c r="A36" s="28">
        <f t="shared" si="0"/>
        <v>4</v>
      </c>
      <c r="B36" s="8"/>
      <c r="C36" s="8"/>
      <c r="D36" s="8"/>
      <c r="E36" s="8"/>
      <c r="F36" s="8"/>
      <c r="G36" s="24"/>
      <c r="H36" s="24"/>
      <c r="P36"/>
    </row>
    <row r="37" spans="1:16" x14ac:dyDescent="0.45">
      <c r="A37" s="28">
        <f t="shared" si="0"/>
        <v>5</v>
      </c>
      <c r="B37" s="8"/>
      <c r="C37" s="8"/>
      <c r="D37" s="8"/>
      <c r="E37" s="8"/>
      <c r="F37" s="8"/>
      <c r="G37" s="24"/>
      <c r="H37" s="24"/>
      <c r="P37"/>
    </row>
    <row r="38" spans="1:16" x14ac:dyDescent="0.45">
      <c r="A38" s="28">
        <f t="shared" si="0"/>
        <v>6</v>
      </c>
      <c r="B38" s="8"/>
      <c r="C38" s="8"/>
      <c r="D38" s="8"/>
      <c r="E38" s="8"/>
      <c r="F38" s="8"/>
      <c r="G38" s="24"/>
      <c r="H38" s="24"/>
      <c r="P38"/>
    </row>
    <row r="39" spans="1:16" x14ac:dyDescent="0.45">
      <c r="A39" s="28">
        <f t="shared" si="0"/>
        <v>7</v>
      </c>
      <c r="B39" s="8"/>
      <c r="C39" s="8"/>
      <c r="D39" s="8"/>
      <c r="E39" s="8"/>
      <c r="F39" s="8"/>
      <c r="G39" s="24"/>
      <c r="H39" s="24"/>
      <c r="P39"/>
    </row>
    <row r="40" spans="1:16" x14ac:dyDescent="0.45">
      <c r="A40" s="28">
        <f t="shared" si="0"/>
        <v>8</v>
      </c>
      <c r="B40" s="8"/>
      <c r="C40" s="8"/>
      <c r="D40" s="8"/>
      <c r="E40" s="8"/>
      <c r="F40" s="8"/>
      <c r="G40" s="24"/>
      <c r="H40" s="24"/>
      <c r="P40"/>
    </row>
    <row r="41" spans="1:16" x14ac:dyDescent="0.45">
      <c r="A41" s="28">
        <f t="shared" si="0"/>
        <v>9</v>
      </c>
      <c r="B41" s="8"/>
      <c r="C41" s="8"/>
      <c r="D41" s="8"/>
      <c r="E41" s="8"/>
      <c r="F41" s="8"/>
      <c r="G41" s="24"/>
      <c r="H41" s="24"/>
      <c r="P41"/>
    </row>
    <row r="42" spans="1:16" x14ac:dyDescent="0.45">
      <c r="A42" s="28">
        <f t="shared" si="0"/>
        <v>10</v>
      </c>
      <c r="B42" s="8"/>
      <c r="C42" s="8"/>
      <c r="D42" s="8"/>
      <c r="E42" s="8"/>
      <c r="F42" s="8"/>
      <c r="G42" s="24"/>
      <c r="H42" s="24"/>
      <c r="P42"/>
    </row>
    <row r="43" spans="1:16" x14ac:dyDescent="0.45">
      <c r="A43" s="28">
        <f t="shared" si="0"/>
        <v>11</v>
      </c>
      <c r="B43" s="25"/>
      <c r="C43" s="25"/>
      <c r="D43" s="25"/>
      <c r="E43" s="25"/>
      <c r="F43" s="25"/>
      <c r="G43" s="24"/>
      <c r="H43" s="24"/>
      <c r="P43"/>
    </row>
    <row r="44" spans="1:16" x14ac:dyDescent="0.45">
      <c r="A44" s="28">
        <f t="shared" si="0"/>
        <v>12</v>
      </c>
      <c r="B44" s="25"/>
      <c r="C44" s="25"/>
      <c r="D44" s="25"/>
      <c r="E44" s="25"/>
      <c r="F44" s="25"/>
      <c r="G44" s="24"/>
      <c r="H44" s="24"/>
      <c r="P44"/>
    </row>
    <row r="45" spans="1:16" x14ac:dyDescent="0.45">
      <c r="A45" s="28">
        <f t="shared" si="0"/>
        <v>13</v>
      </c>
      <c r="B45" s="25"/>
      <c r="C45" s="25"/>
      <c r="D45" s="25"/>
      <c r="E45" s="25"/>
      <c r="F45" s="25"/>
      <c r="G45" s="24"/>
      <c r="H45" s="24"/>
      <c r="P45"/>
    </row>
    <row r="46" spans="1:16" x14ac:dyDescent="0.45">
      <c r="A46" s="28">
        <f t="shared" si="0"/>
        <v>14</v>
      </c>
      <c r="B46" s="25"/>
      <c r="C46" s="25"/>
      <c r="D46" s="25"/>
      <c r="E46" s="25"/>
      <c r="F46" s="25"/>
      <c r="G46" s="24"/>
      <c r="H46" s="24"/>
      <c r="P46"/>
    </row>
    <row r="47" spans="1:16" x14ac:dyDescent="0.45">
      <c r="A47" s="28">
        <f t="shared" si="0"/>
        <v>15</v>
      </c>
      <c r="B47" s="25"/>
      <c r="C47" s="25"/>
      <c r="D47" s="25"/>
      <c r="E47" s="25"/>
      <c r="F47" s="25"/>
      <c r="G47" s="24"/>
      <c r="H47" s="24"/>
      <c r="P47"/>
    </row>
    <row r="48" spans="1:16" x14ac:dyDescent="0.45">
      <c r="A48" s="28">
        <f t="shared" si="0"/>
        <v>16</v>
      </c>
      <c r="B48" s="25"/>
      <c r="C48" s="25"/>
      <c r="D48" s="25"/>
      <c r="E48" s="25"/>
      <c r="F48" s="25"/>
      <c r="G48" s="24"/>
      <c r="H48" s="24"/>
      <c r="P48"/>
    </row>
    <row r="49" spans="1:18" x14ac:dyDescent="0.45">
      <c r="A49" s="28">
        <f t="shared" si="0"/>
        <v>17</v>
      </c>
      <c r="B49" s="25"/>
      <c r="C49" s="25"/>
      <c r="D49" s="25"/>
      <c r="E49" s="25"/>
      <c r="F49" s="25"/>
      <c r="G49" s="24"/>
      <c r="H49" s="24"/>
      <c r="P49"/>
    </row>
    <row r="50" spans="1:18" x14ac:dyDescent="0.45">
      <c r="A50" s="28">
        <f t="shared" si="0"/>
        <v>18</v>
      </c>
      <c r="B50" s="25"/>
      <c r="C50" s="25"/>
      <c r="D50" s="25"/>
      <c r="E50" s="25"/>
      <c r="F50" s="25"/>
      <c r="G50" s="24"/>
      <c r="H50" s="24"/>
      <c r="P50"/>
    </row>
    <row r="51" spans="1:18" x14ac:dyDescent="0.45">
      <c r="A51" s="28">
        <f t="shared" si="0"/>
        <v>19</v>
      </c>
      <c r="B51" s="25"/>
      <c r="C51" s="25"/>
      <c r="D51" s="25"/>
      <c r="E51" s="25"/>
      <c r="F51" s="25"/>
      <c r="G51" s="24"/>
      <c r="H51" s="24"/>
      <c r="P51"/>
    </row>
    <row r="52" spans="1:18" x14ac:dyDescent="0.45">
      <c r="A52" s="28">
        <f t="shared" si="0"/>
        <v>20</v>
      </c>
      <c r="B52" s="25"/>
      <c r="C52" s="25"/>
      <c r="D52" s="25"/>
      <c r="E52" s="25"/>
      <c r="F52" s="25"/>
      <c r="G52" s="24"/>
      <c r="H52" s="24"/>
      <c r="P52"/>
    </row>
    <row r="53" spans="1:18" x14ac:dyDescent="0.45">
      <c r="A53" s="28">
        <f t="shared" si="0"/>
        <v>21</v>
      </c>
      <c r="B53" s="25"/>
      <c r="C53" s="25"/>
      <c r="D53" s="25"/>
      <c r="E53" s="25"/>
      <c r="F53" s="25"/>
      <c r="G53" s="24"/>
      <c r="H53" s="24"/>
      <c r="P53"/>
    </row>
    <row r="54" spans="1:18" x14ac:dyDescent="0.45">
      <c r="A54" s="28">
        <f t="shared" si="0"/>
        <v>22</v>
      </c>
      <c r="B54" s="25"/>
      <c r="C54" s="25"/>
      <c r="D54" s="25"/>
      <c r="E54" s="25"/>
      <c r="F54" s="25"/>
      <c r="G54" s="24"/>
      <c r="H54" s="24"/>
      <c r="P54"/>
    </row>
    <row r="55" spans="1:18" x14ac:dyDescent="0.45">
      <c r="A55" s="28">
        <f t="shared" si="0"/>
        <v>23</v>
      </c>
      <c r="B55" s="25"/>
      <c r="C55" s="25"/>
      <c r="D55" s="25"/>
      <c r="E55" s="25"/>
      <c r="F55" s="25"/>
      <c r="G55" s="24"/>
      <c r="H55" s="24"/>
      <c r="P55"/>
    </row>
    <row r="56" spans="1:18" x14ac:dyDescent="0.45">
      <c r="A56" s="28">
        <f t="shared" si="0"/>
        <v>24</v>
      </c>
      <c r="B56" s="25"/>
      <c r="C56" s="25"/>
      <c r="D56" s="25"/>
      <c r="E56" s="25"/>
      <c r="F56" s="25"/>
      <c r="G56" s="24"/>
      <c r="H56" s="24"/>
      <c r="P56"/>
    </row>
    <row r="57" spans="1:18" x14ac:dyDescent="0.45">
      <c r="A57" s="28">
        <f t="shared" si="0"/>
        <v>25</v>
      </c>
      <c r="B57" s="25"/>
      <c r="C57" s="25"/>
      <c r="D57" s="25"/>
      <c r="E57" s="25"/>
      <c r="F57" s="25"/>
      <c r="G57" s="24"/>
      <c r="H57" s="24"/>
      <c r="P57"/>
    </row>
    <row r="61" spans="1:18" x14ac:dyDescent="0.45">
      <c r="A61" t="s">
        <v>134</v>
      </c>
    </row>
    <row r="62" spans="1:18" x14ac:dyDescent="0.45">
      <c r="A62" t="s">
        <v>17</v>
      </c>
      <c r="B62" t="s">
        <v>50</v>
      </c>
      <c r="C62" t="s">
        <v>51</v>
      </c>
      <c r="D62" t="s">
        <v>52</v>
      </c>
      <c r="E62" t="s">
        <v>53</v>
      </c>
      <c r="F62" t="s">
        <v>4</v>
      </c>
      <c r="G62" t="s">
        <v>11</v>
      </c>
      <c r="H62" t="s">
        <v>54</v>
      </c>
      <c r="I62" t="s">
        <v>55</v>
      </c>
      <c r="J62" t="s">
        <v>56</v>
      </c>
      <c r="K62" t="s">
        <v>57</v>
      </c>
      <c r="L62" t="s">
        <v>58</v>
      </c>
      <c r="M62" t="s">
        <v>59</v>
      </c>
      <c r="N62" t="s">
        <v>60</v>
      </c>
      <c r="O62" t="s">
        <v>61</v>
      </c>
      <c r="P62" t="s">
        <v>62</v>
      </c>
      <c r="Q62" t="s">
        <v>63</v>
      </c>
      <c r="R62" t="s">
        <v>64</v>
      </c>
    </row>
    <row r="63" spans="1:18" x14ac:dyDescent="0.45">
      <c r="A63">
        <v>1</v>
      </c>
      <c r="B63"/>
      <c r="C63"/>
      <c r="D63"/>
      <c r="E63"/>
      <c r="F63"/>
      <c r="G63"/>
      <c r="I63"/>
      <c r="J63"/>
      <c r="K63"/>
      <c r="L63"/>
      <c r="N63" s="3"/>
      <c r="O63" s="3"/>
      <c r="P63"/>
    </row>
    <row r="64" spans="1:18" x14ac:dyDescent="0.45">
      <c r="A64">
        <f t="shared" ref="A64:A95" si="1">A63+1</f>
        <v>2</v>
      </c>
      <c r="N64" s="27"/>
      <c r="O64" s="3"/>
      <c r="P64"/>
    </row>
    <row r="65" spans="1:16" x14ac:dyDescent="0.45">
      <c r="A65">
        <f t="shared" si="1"/>
        <v>3</v>
      </c>
      <c r="N65" s="3"/>
      <c r="P65"/>
    </row>
    <row r="66" spans="1:16" x14ac:dyDescent="0.45">
      <c r="A66">
        <f t="shared" si="1"/>
        <v>4</v>
      </c>
      <c r="N66" s="3"/>
      <c r="P66"/>
    </row>
    <row r="67" spans="1:16" x14ac:dyDescent="0.45">
      <c r="A67">
        <f t="shared" si="1"/>
        <v>5</v>
      </c>
      <c r="N67" s="3"/>
      <c r="P67"/>
    </row>
    <row r="68" spans="1:16" x14ac:dyDescent="0.45">
      <c r="A68">
        <f t="shared" si="1"/>
        <v>6</v>
      </c>
      <c r="N68" s="3"/>
      <c r="P68"/>
    </row>
    <row r="69" spans="1:16" x14ac:dyDescent="0.45">
      <c r="A69">
        <f t="shared" si="1"/>
        <v>7</v>
      </c>
      <c r="N69" s="3"/>
      <c r="P69"/>
    </row>
    <row r="70" spans="1:16" x14ac:dyDescent="0.45">
      <c r="A70">
        <f t="shared" si="1"/>
        <v>8</v>
      </c>
      <c r="N70" s="3"/>
      <c r="P70"/>
    </row>
    <row r="71" spans="1:16" x14ac:dyDescent="0.45">
      <c r="A71">
        <f t="shared" si="1"/>
        <v>9</v>
      </c>
      <c r="P71"/>
    </row>
    <row r="72" spans="1:16" x14ac:dyDescent="0.45">
      <c r="A72">
        <f t="shared" si="1"/>
        <v>10</v>
      </c>
      <c r="P72"/>
    </row>
    <row r="73" spans="1:16" x14ac:dyDescent="0.45">
      <c r="A73">
        <f t="shared" si="1"/>
        <v>11</v>
      </c>
      <c r="P73"/>
    </row>
    <row r="74" spans="1:16" x14ac:dyDescent="0.45">
      <c r="A74">
        <f t="shared" si="1"/>
        <v>12</v>
      </c>
      <c r="P74"/>
    </row>
    <row r="75" spans="1:16" x14ac:dyDescent="0.45">
      <c r="A75">
        <f t="shared" si="1"/>
        <v>13</v>
      </c>
      <c r="P75"/>
    </row>
    <row r="76" spans="1:16" x14ac:dyDescent="0.45">
      <c r="A76">
        <f t="shared" si="1"/>
        <v>14</v>
      </c>
      <c r="P76"/>
    </row>
    <row r="77" spans="1:16" x14ac:dyDescent="0.45">
      <c r="A77">
        <f t="shared" si="1"/>
        <v>15</v>
      </c>
      <c r="P77"/>
    </row>
    <row r="78" spans="1:16" x14ac:dyDescent="0.45">
      <c r="A78">
        <f t="shared" si="1"/>
        <v>16</v>
      </c>
      <c r="P78"/>
    </row>
    <row r="79" spans="1:16" x14ac:dyDescent="0.45">
      <c r="A79">
        <f t="shared" si="1"/>
        <v>17</v>
      </c>
      <c r="P79"/>
    </row>
    <row r="80" spans="1:16" x14ac:dyDescent="0.45">
      <c r="A80">
        <f t="shared" si="1"/>
        <v>18</v>
      </c>
      <c r="P80"/>
    </row>
    <row r="81" spans="1:16" x14ac:dyDescent="0.45">
      <c r="A81">
        <f t="shared" si="1"/>
        <v>19</v>
      </c>
      <c r="P81"/>
    </row>
    <row r="82" spans="1:16" x14ac:dyDescent="0.45">
      <c r="A82">
        <f t="shared" si="1"/>
        <v>20</v>
      </c>
      <c r="P82"/>
    </row>
    <row r="83" spans="1:16" x14ac:dyDescent="0.45">
      <c r="A83">
        <f t="shared" si="1"/>
        <v>21</v>
      </c>
      <c r="P83"/>
    </row>
    <row r="84" spans="1:16" x14ac:dyDescent="0.45">
      <c r="A84">
        <f t="shared" si="1"/>
        <v>22</v>
      </c>
      <c r="P84"/>
    </row>
    <row r="85" spans="1:16" x14ac:dyDescent="0.45">
      <c r="A85">
        <f t="shared" si="1"/>
        <v>23</v>
      </c>
      <c r="P85"/>
    </row>
    <row r="86" spans="1:16" x14ac:dyDescent="0.45">
      <c r="A86">
        <f t="shared" si="1"/>
        <v>24</v>
      </c>
      <c r="P86"/>
    </row>
    <row r="87" spans="1:16" x14ac:dyDescent="0.45">
      <c r="A87">
        <f t="shared" si="1"/>
        <v>25</v>
      </c>
      <c r="P87"/>
    </row>
    <row r="88" spans="1:16" x14ac:dyDescent="0.45">
      <c r="A88">
        <f t="shared" si="1"/>
        <v>26</v>
      </c>
      <c r="P88"/>
    </row>
    <row r="89" spans="1:16" x14ac:dyDescent="0.45">
      <c r="A89">
        <f t="shared" si="1"/>
        <v>27</v>
      </c>
      <c r="P89"/>
    </row>
    <row r="90" spans="1:16" x14ac:dyDescent="0.45">
      <c r="A90">
        <f t="shared" si="1"/>
        <v>28</v>
      </c>
      <c r="P90"/>
    </row>
    <row r="91" spans="1:16" x14ac:dyDescent="0.45">
      <c r="A91">
        <f t="shared" si="1"/>
        <v>29</v>
      </c>
      <c r="P91"/>
    </row>
    <row r="92" spans="1:16" x14ac:dyDescent="0.45">
      <c r="A92">
        <f t="shared" si="1"/>
        <v>30</v>
      </c>
      <c r="P92"/>
    </row>
    <row r="93" spans="1:16" x14ac:dyDescent="0.45">
      <c r="A93">
        <f t="shared" si="1"/>
        <v>31</v>
      </c>
      <c r="P93"/>
    </row>
    <row r="94" spans="1:16" x14ac:dyDescent="0.45">
      <c r="A94">
        <f t="shared" si="1"/>
        <v>32</v>
      </c>
      <c r="P94"/>
    </row>
    <row r="95" spans="1:16" x14ac:dyDescent="0.45">
      <c r="A95">
        <f t="shared" si="1"/>
        <v>33</v>
      </c>
      <c r="P95"/>
    </row>
    <row r="96" spans="1:16" x14ac:dyDescent="0.45">
      <c r="A96">
        <f t="shared" ref="A96:A127" si="2">A95+1</f>
        <v>34</v>
      </c>
      <c r="P96"/>
    </row>
    <row r="97" spans="1:16" x14ac:dyDescent="0.45">
      <c r="A97">
        <f t="shared" si="2"/>
        <v>35</v>
      </c>
      <c r="P97"/>
    </row>
    <row r="98" spans="1:16" x14ac:dyDescent="0.45">
      <c r="A98">
        <f t="shared" si="2"/>
        <v>36</v>
      </c>
      <c r="P98"/>
    </row>
    <row r="99" spans="1:16" x14ac:dyDescent="0.45">
      <c r="A99">
        <f t="shared" si="2"/>
        <v>37</v>
      </c>
      <c r="P99"/>
    </row>
    <row r="100" spans="1:16" x14ac:dyDescent="0.45">
      <c r="A100">
        <f t="shared" si="2"/>
        <v>38</v>
      </c>
      <c r="P100"/>
    </row>
    <row r="101" spans="1:16" x14ac:dyDescent="0.45">
      <c r="A101">
        <f t="shared" si="2"/>
        <v>39</v>
      </c>
      <c r="P101"/>
    </row>
    <row r="102" spans="1:16" x14ac:dyDescent="0.45">
      <c r="A102">
        <f t="shared" si="2"/>
        <v>40</v>
      </c>
      <c r="P102"/>
    </row>
    <row r="103" spans="1:16" x14ac:dyDescent="0.45">
      <c r="A103">
        <f t="shared" si="2"/>
        <v>41</v>
      </c>
      <c r="P103"/>
    </row>
    <row r="104" spans="1:16" x14ac:dyDescent="0.45">
      <c r="A104">
        <f t="shared" si="2"/>
        <v>42</v>
      </c>
      <c r="P104"/>
    </row>
    <row r="105" spans="1:16" x14ac:dyDescent="0.45">
      <c r="A105">
        <f t="shared" si="2"/>
        <v>43</v>
      </c>
      <c r="P105"/>
    </row>
    <row r="106" spans="1:16" x14ac:dyDescent="0.45">
      <c r="A106">
        <f t="shared" si="2"/>
        <v>44</v>
      </c>
      <c r="P106"/>
    </row>
    <row r="107" spans="1:16" x14ac:dyDescent="0.45">
      <c r="A107">
        <f t="shared" si="2"/>
        <v>45</v>
      </c>
      <c r="P107"/>
    </row>
    <row r="108" spans="1:16" x14ac:dyDescent="0.45">
      <c r="A108">
        <f t="shared" si="2"/>
        <v>46</v>
      </c>
      <c r="P108"/>
    </row>
    <row r="109" spans="1:16" x14ac:dyDescent="0.45">
      <c r="A109">
        <f t="shared" si="2"/>
        <v>47</v>
      </c>
      <c r="P109"/>
    </row>
    <row r="110" spans="1:16" x14ac:dyDescent="0.45">
      <c r="A110">
        <f t="shared" si="2"/>
        <v>48</v>
      </c>
      <c r="P110"/>
    </row>
    <row r="111" spans="1:16" x14ac:dyDescent="0.45">
      <c r="A111">
        <f t="shared" si="2"/>
        <v>49</v>
      </c>
      <c r="P111"/>
    </row>
    <row r="112" spans="1:16" x14ac:dyDescent="0.45">
      <c r="A112">
        <f t="shared" si="2"/>
        <v>50</v>
      </c>
      <c r="P112"/>
    </row>
    <row r="113" spans="1:16" x14ac:dyDescent="0.45">
      <c r="A113">
        <f t="shared" si="2"/>
        <v>51</v>
      </c>
      <c r="P113"/>
    </row>
    <row r="114" spans="1:16" x14ac:dyDescent="0.45">
      <c r="A114">
        <f t="shared" si="2"/>
        <v>52</v>
      </c>
      <c r="P114"/>
    </row>
    <row r="115" spans="1:16" x14ac:dyDescent="0.45">
      <c r="A115">
        <f t="shared" si="2"/>
        <v>53</v>
      </c>
      <c r="P115"/>
    </row>
    <row r="116" spans="1:16" x14ac:dyDescent="0.45">
      <c r="A116">
        <f t="shared" si="2"/>
        <v>54</v>
      </c>
      <c r="P116"/>
    </row>
    <row r="117" spans="1:16" x14ac:dyDescent="0.45">
      <c r="A117">
        <f t="shared" si="2"/>
        <v>55</v>
      </c>
      <c r="P117"/>
    </row>
    <row r="118" spans="1:16" x14ac:dyDescent="0.45">
      <c r="A118">
        <f t="shared" si="2"/>
        <v>56</v>
      </c>
      <c r="P118"/>
    </row>
    <row r="119" spans="1:16" x14ac:dyDescent="0.45">
      <c r="A119">
        <f t="shared" si="2"/>
        <v>57</v>
      </c>
      <c r="P119"/>
    </row>
    <row r="120" spans="1:16" x14ac:dyDescent="0.45">
      <c r="A120">
        <f t="shared" si="2"/>
        <v>58</v>
      </c>
      <c r="P120"/>
    </row>
    <row r="121" spans="1:16" x14ac:dyDescent="0.45">
      <c r="A121">
        <f t="shared" si="2"/>
        <v>59</v>
      </c>
      <c r="P121"/>
    </row>
    <row r="122" spans="1:16" x14ac:dyDescent="0.45">
      <c r="A122">
        <f t="shared" si="2"/>
        <v>60</v>
      </c>
      <c r="P122"/>
    </row>
    <row r="123" spans="1:16" x14ac:dyDescent="0.45">
      <c r="A123">
        <f t="shared" si="2"/>
        <v>61</v>
      </c>
      <c r="P123"/>
    </row>
    <row r="124" spans="1:16" x14ac:dyDescent="0.45">
      <c r="A124">
        <f t="shared" si="2"/>
        <v>62</v>
      </c>
      <c r="P124"/>
    </row>
    <row r="125" spans="1:16" x14ac:dyDescent="0.45">
      <c r="A125">
        <f t="shared" si="2"/>
        <v>63</v>
      </c>
      <c r="P125"/>
    </row>
    <row r="126" spans="1:16" x14ac:dyDescent="0.45">
      <c r="A126">
        <f t="shared" si="2"/>
        <v>64</v>
      </c>
      <c r="P126"/>
    </row>
    <row r="127" spans="1:16" x14ac:dyDescent="0.45">
      <c r="A127">
        <f t="shared" si="2"/>
        <v>65</v>
      </c>
      <c r="P127"/>
    </row>
    <row r="128" spans="1:16" x14ac:dyDescent="0.45">
      <c r="A128">
        <f t="shared" ref="A128:A159" si="3">A127+1</f>
        <v>66</v>
      </c>
      <c r="P128"/>
    </row>
    <row r="129" spans="1:16" x14ac:dyDescent="0.45">
      <c r="A129">
        <f t="shared" si="3"/>
        <v>67</v>
      </c>
      <c r="P129"/>
    </row>
    <row r="130" spans="1:16" x14ac:dyDescent="0.45">
      <c r="A130">
        <f t="shared" si="3"/>
        <v>68</v>
      </c>
      <c r="P130"/>
    </row>
    <row r="131" spans="1:16" x14ac:dyDescent="0.45">
      <c r="A131">
        <f t="shared" si="3"/>
        <v>69</v>
      </c>
      <c r="P131"/>
    </row>
    <row r="132" spans="1:16" x14ac:dyDescent="0.45">
      <c r="A132">
        <f t="shared" si="3"/>
        <v>70</v>
      </c>
      <c r="P132"/>
    </row>
    <row r="133" spans="1:16" x14ac:dyDescent="0.45">
      <c r="A133">
        <f t="shared" si="3"/>
        <v>71</v>
      </c>
      <c r="P133"/>
    </row>
    <row r="134" spans="1:16" x14ac:dyDescent="0.45">
      <c r="A134">
        <f t="shared" si="3"/>
        <v>72</v>
      </c>
      <c r="P134"/>
    </row>
    <row r="135" spans="1:16" x14ac:dyDescent="0.45">
      <c r="A135">
        <f t="shared" si="3"/>
        <v>73</v>
      </c>
      <c r="P135"/>
    </row>
    <row r="136" spans="1:16" x14ac:dyDescent="0.45">
      <c r="A136">
        <f t="shared" si="3"/>
        <v>74</v>
      </c>
      <c r="P136"/>
    </row>
    <row r="137" spans="1:16" x14ac:dyDescent="0.45">
      <c r="A137">
        <f t="shared" si="3"/>
        <v>75</v>
      </c>
      <c r="P137"/>
    </row>
    <row r="138" spans="1:16" x14ac:dyDescent="0.45">
      <c r="A138">
        <f t="shared" si="3"/>
        <v>76</v>
      </c>
      <c r="P138"/>
    </row>
    <row r="139" spans="1:16" x14ac:dyDescent="0.45">
      <c r="A139">
        <f t="shared" si="3"/>
        <v>77</v>
      </c>
      <c r="P139"/>
    </row>
    <row r="140" spans="1:16" x14ac:dyDescent="0.45">
      <c r="A140">
        <f t="shared" si="3"/>
        <v>78</v>
      </c>
      <c r="P140"/>
    </row>
    <row r="141" spans="1:16" x14ac:dyDescent="0.45">
      <c r="A141">
        <f t="shared" si="3"/>
        <v>79</v>
      </c>
      <c r="P141"/>
    </row>
    <row r="142" spans="1:16" x14ac:dyDescent="0.45">
      <c r="A142">
        <f t="shared" si="3"/>
        <v>80</v>
      </c>
      <c r="P142"/>
    </row>
    <row r="143" spans="1:16" x14ac:dyDescent="0.45">
      <c r="A143">
        <f t="shared" si="3"/>
        <v>81</v>
      </c>
      <c r="P143"/>
    </row>
    <row r="144" spans="1:16" x14ac:dyDescent="0.45">
      <c r="A144">
        <f t="shared" si="3"/>
        <v>82</v>
      </c>
      <c r="P144"/>
    </row>
    <row r="145" spans="1:16" x14ac:dyDescent="0.45">
      <c r="A145">
        <f t="shared" si="3"/>
        <v>83</v>
      </c>
      <c r="P145"/>
    </row>
    <row r="146" spans="1:16" x14ac:dyDescent="0.45">
      <c r="A146">
        <f t="shared" si="3"/>
        <v>84</v>
      </c>
      <c r="P146"/>
    </row>
    <row r="147" spans="1:16" x14ac:dyDescent="0.45">
      <c r="A147">
        <f t="shared" si="3"/>
        <v>85</v>
      </c>
      <c r="P147"/>
    </row>
    <row r="148" spans="1:16" x14ac:dyDescent="0.45">
      <c r="A148">
        <f t="shared" si="3"/>
        <v>86</v>
      </c>
      <c r="P148"/>
    </row>
    <row r="149" spans="1:16" x14ac:dyDescent="0.45">
      <c r="A149">
        <f t="shared" si="3"/>
        <v>87</v>
      </c>
      <c r="P149"/>
    </row>
    <row r="150" spans="1:16" x14ac:dyDescent="0.45">
      <c r="A150">
        <f t="shared" si="3"/>
        <v>88</v>
      </c>
      <c r="P150"/>
    </row>
    <row r="151" spans="1:16" x14ac:dyDescent="0.45">
      <c r="A151">
        <f t="shared" si="3"/>
        <v>89</v>
      </c>
      <c r="P151"/>
    </row>
    <row r="152" spans="1:16" x14ac:dyDescent="0.45">
      <c r="A152">
        <f t="shared" si="3"/>
        <v>90</v>
      </c>
      <c r="P152"/>
    </row>
    <row r="153" spans="1:16" x14ac:dyDescent="0.45">
      <c r="A153">
        <f t="shared" si="3"/>
        <v>91</v>
      </c>
      <c r="P153"/>
    </row>
    <row r="154" spans="1:16" x14ac:dyDescent="0.45">
      <c r="A154">
        <f t="shared" si="3"/>
        <v>92</v>
      </c>
      <c r="P154"/>
    </row>
    <row r="155" spans="1:16" x14ac:dyDescent="0.45">
      <c r="A155">
        <f t="shared" si="3"/>
        <v>93</v>
      </c>
      <c r="P155"/>
    </row>
    <row r="156" spans="1:16" x14ac:dyDescent="0.45">
      <c r="A156">
        <f t="shared" si="3"/>
        <v>94</v>
      </c>
      <c r="P156"/>
    </row>
    <row r="157" spans="1:16" x14ac:dyDescent="0.45">
      <c r="A157">
        <f t="shared" si="3"/>
        <v>95</v>
      </c>
      <c r="P157"/>
    </row>
    <row r="158" spans="1:16" x14ac:dyDescent="0.45">
      <c r="A158">
        <f t="shared" si="3"/>
        <v>96</v>
      </c>
      <c r="P158"/>
    </row>
    <row r="159" spans="1:16" x14ac:dyDescent="0.45">
      <c r="A159">
        <f t="shared" si="3"/>
        <v>97</v>
      </c>
      <c r="P159"/>
    </row>
    <row r="160" spans="1:16" x14ac:dyDescent="0.45">
      <c r="A160">
        <f t="shared" ref="A160:A191" si="4">A159+1</f>
        <v>98</v>
      </c>
      <c r="P160"/>
    </row>
    <row r="161" spans="1:16" x14ac:dyDescent="0.45">
      <c r="A161">
        <f t="shared" si="4"/>
        <v>99</v>
      </c>
      <c r="P161"/>
    </row>
    <row r="162" spans="1:16" x14ac:dyDescent="0.45">
      <c r="A162">
        <f t="shared" si="4"/>
        <v>100</v>
      </c>
      <c r="P162"/>
    </row>
    <row r="163" spans="1:16" x14ac:dyDescent="0.45">
      <c r="A163">
        <f t="shared" si="4"/>
        <v>101</v>
      </c>
      <c r="P163"/>
    </row>
    <row r="164" spans="1:16" x14ac:dyDescent="0.45">
      <c r="A164">
        <f t="shared" si="4"/>
        <v>102</v>
      </c>
      <c r="P164"/>
    </row>
    <row r="165" spans="1:16" x14ac:dyDescent="0.45">
      <c r="A165">
        <f t="shared" si="4"/>
        <v>103</v>
      </c>
      <c r="P165"/>
    </row>
    <row r="166" spans="1:16" x14ac:dyDescent="0.45">
      <c r="A166">
        <f t="shared" si="4"/>
        <v>104</v>
      </c>
      <c r="P166"/>
    </row>
    <row r="167" spans="1:16" x14ac:dyDescent="0.45">
      <c r="A167">
        <f t="shared" si="4"/>
        <v>105</v>
      </c>
      <c r="P167"/>
    </row>
    <row r="168" spans="1:16" x14ac:dyDescent="0.45">
      <c r="A168">
        <f t="shared" si="4"/>
        <v>106</v>
      </c>
      <c r="P168"/>
    </row>
    <row r="169" spans="1:16" x14ac:dyDescent="0.45">
      <c r="A169">
        <f t="shared" si="4"/>
        <v>107</v>
      </c>
      <c r="P169"/>
    </row>
    <row r="170" spans="1:16" x14ac:dyDescent="0.45">
      <c r="A170">
        <f t="shared" si="4"/>
        <v>108</v>
      </c>
      <c r="P170"/>
    </row>
    <row r="171" spans="1:16" x14ac:dyDescent="0.45">
      <c r="A171">
        <f t="shared" si="4"/>
        <v>109</v>
      </c>
      <c r="P171"/>
    </row>
    <row r="172" spans="1:16" x14ac:dyDescent="0.45">
      <c r="A172">
        <f t="shared" si="4"/>
        <v>110</v>
      </c>
      <c r="P172"/>
    </row>
    <row r="173" spans="1:16" x14ac:dyDescent="0.45">
      <c r="A173">
        <f t="shared" si="4"/>
        <v>111</v>
      </c>
      <c r="P173"/>
    </row>
    <row r="174" spans="1:16" x14ac:dyDescent="0.45">
      <c r="A174">
        <f t="shared" si="4"/>
        <v>112</v>
      </c>
      <c r="P174"/>
    </row>
    <row r="175" spans="1:16" x14ac:dyDescent="0.45">
      <c r="A175">
        <f t="shared" si="4"/>
        <v>113</v>
      </c>
      <c r="P175"/>
    </row>
    <row r="176" spans="1:16" x14ac:dyDescent="0.45">
      <c r="A176">
        <f t="shared" si="4"/>
        <v>114</v>
      </c>
      <c r="P176"/>
    </row>
    <row r="177" spans="1:16" x14ac:dyDescent="0.45">
      <c r="A177">
        <f t="shared" si="4"/>
        <v>115</v>
      </c>
      <c r="P177"/>
    </row>
    <row r="178" spans="1:16" x14ac:dyDescent="0.45">
      <c r="A178">
        <f t="shared" si="4"/>
        <v>116</v>
      </c>
      <c r="P178"/>
    </row>
    <row r="179" spans="1:16" x14ac:dyDescent="0.45">
      <c r="A179">
        <f t="shared" si="4"/>
        <v>117</v>
      </c>
      <c r="P179"/>
    </row>
    <row r="180" spans="1:16" x14ac:dyDescent="0.45">
      <c r="A180">
        <f t="shared" si="4"/>
        <v>118</v>
      </c>
      <c r="P180"/>
    </row>
    <row r="181" spans="1:16" x14ac:dyDescent="0.45">
      <c r="A181">
        <f t="shared" si="4"/>
        <v>119</v>
      </c>
      <c r="P181"/>
    </row>
    <row r="182" spans="1:16" x14ac:dyDescent="0.45">
      <c r="A182">
        <f t="shared" si="4"/>
        <v>120</v>
      </c>
      <c r="P182"/>
    </row>
    <row r="183" spans="1:16" x14ac:dyDescent="0.45">
      <c r="A183">
        <f t="shared" si="4"/>
        <v>121</v>
      </c>
      <c r="P183"/>
    </row>
    <row r="184" spans="1:16" x14ac:dyDescent="0.45">
      <c r="A184">
        <f t="shared" si="4"/>
        <v>122</v>
      </c>
      <c r="P184"/>
    </row>
    <row r="185" spans="1:16" x14ac:dyDescent="0.45">
      <c r="A185">
        <f t="shared" si="4"/>
        <v>123</v>
      </c>
      <c r="P185"/>
    </row>
    <row r="186" spans="1:16" x14ac:dyDescent="0.45">
      <c r="A186">
        <f t="shared" si="4"/>
        <v>124</v>
      </c>
      <c r="P186"/>
    </row>
    <row r="187" spans="1:16" x14ac:dyDescent="0.45">
      <c r="A187">
        <f t="shared" si="4"/>
        <v>125</v>
      </c>
      <c r="P187"/>
    </row>
    <row r="188" spans="1:16" x14ac:dyDescent="0.45">
      <c r="A188">
        <f t="shared" si="4"/>
        <v>126</v>
      </c>
      <c r="P188"/>
    </row>
    <row r="189" spans="1:16" x14ac:dyDescent="0.45">
      <c r="A189">
        <f t="shared" si="4"/>
        <v>127</v>
      </c>
      <c r="P189"/>
    </row>
    <row r="190" spans="1:16" x14ac:dyDescent="0.45">
      <c r="A190">
        <f t="shared" si="4"/>
        <v>128</v>
      </c>
      <c r="P190"/>
    </row>
    <row r="191" spans="1:16" x14ac:dyDescent="0.45">
      <c r="A191">
        <f t="shared" si="4"/>
        <v>129</v>
      </c>
      <c r="P191"/>
    </row>
    <row r="192" spans="1:16" x14ac:dyDescent="0.45">
      <c r="A192">
        <f t="shared" ref="A192:A223" si="5">A191+1</f>
        <v>130</v>
      </c>
      <c r="P192"/>
    </row>
    <row r="193" spans="1:16" x14ac:dyDescent="0.45">
      <c r="A193">
        <f t="shared" si="5"/>
        <v>131</v>
      </c>
      <c r="P193"/>
    </row>
    <row r="194" spans="1:16" x14ac:dyDescent="0.45">
      <c r="A194">
        <f t="shared" si="5"/>
        <v>132</v>
      </c>
      <c r="P194"/>
    </row>
    <row r="195" spans="1:16" x14ac:dyDescent="0.45">
      <c r="A195">
        <f t="shared" si="5"/>
        <v>133</v>
      </c>
      <c r="P195"/>
    </row>
    <row r="196" spans="1:16" x14ac:dyDescent="0.45">
      <c r="A196">
        <f t="shared" si="5"/>
        <v>134</v>
      </c>
      <c r="P196"/>
    </row>
    <row r="197" spans="1:16" x14ac:dyDescent="0.45">
      <c r="A197">
        <f t="shared" si="5"/>
        <v>135</v>
      </c>
      <c r="P197"/>
    </row>
    <row r="198" spans="1:16" x14ac:dyDescent="0.45">
      <c r="A198">
        <f t="shared" si="5"/>
        <v>136</v>
      </c>
      <c r="P198"/>
    </row>
    <row r="199" spans="1:16" x14ac:dyDescent="0.45">
      <c r="A199">
        <f t="shared" si="5"/>
        <v>137</v>
      </c>
      <c r="P199"/>
    </row>
    <row r="200" spans="1:16" x14ac:dyDescent="0.45">
      <c r="A200">
        <f t="shared" si="5"/>
        <v>138</v>
      </c>
      <c r="P200"/>
    </row>
    <row r="201" spans="1:16" x14ac:dyDescent="0.45">
      <c r="A201">
        <f t="shared" si="5"/>
        <v>139</v>
      </c>
      <c r="P201"/>
    </row>
    <row r="202" spans="1:16" x14ac:dyDescent="0.45">
      <c r="A202">
        <f t="shared" si="5"/>
        <v>140</v>
      </c>
      <c r="P202"/>
    </row>
    <row r="203" spans="1:16" x14ac:dyDescent="0.45">
      <c r="A203">
        <f t="shared" si="5"/>
        <v>141</v>
      </c>
      <c r="P203"/>
    </row>
    <row r="204" spans="1:16" x14ac:dyDescent="0.45">
      <c r="A204">
        <f t="shared" si="5"/>
        <v>142</v>
      </c>
      <c r="P204"/>
    </row>
    <row r="205" spans="1:16" x14ac:dyDescent="0.45">
      <c r="A205">
        <f t="shared" si="5"/>
        <v>143</v>
      </c>
      <c r="P205"/>
    </row>
    <row r="206" spans="1:16" x14ac:dyDescent="0.45">
      <c r="A206">
        <f t="shared" si="5"/>
        <v>144</v>
      </c>
      <c r="P206"/>
    </row>
    <row r="207" spans="1:16" x14ac:dyDescent="0.45">
      <c r="A207">
        <f t="shared" si="5"/>
        <v>145</v>
      </c>
      <c r="P207"/>
    </row>
    <row r="208" spans="1:16" x14ac:dyDescent="0.45">
      <c r="A208">
        <f t="shared" si="5"/>
        <v>146</v>
      </c>
      <c r="P208"/>
    </row>
    <row r="209" spans="1:16" x14ac:dyDescent="0.45">
      <c r="A209">
        <f t="shared" si="5"/>
        <v>147</v>
      </c>
      <c r="P209"/>
    </row>
    <row r="210" spans="1:16" x14ac:dyDescent="0.45">
      <c r="A210">
        <f t="shared" si="5"/>
        <v>148</v>
      </c>
      <c r="P210"/>
    </row>
    <row r="211" spans="1:16" x14ac:dyDescent="0.45">
      <c r="A211">
        <f t="shared" si="5"/>
        <v>149</v>
      </c>
      <c r="P211"/>
    </row>
    <row r="212" spans="1:16" x14ac:dyDescent="0.45">
      <c r="A212">
        <f t="shared" si="5"/>
        <v>150</v>
      </c>
      <c r="P212"/>
    </row>
    <row r="213" spans="1:16" x14ac:dyDescent="0.45">
      <c r="A213">
        <f t="shared" si="5"/>
        <v>151</v>
      </c>
      <c r="P213"/>
    </row>
    <row r="214" spans="1:16" x14ac:dyDescent="0.45">
      <c r="A214">
        <f t="shared" si="5"/>
        <v>152</v>
      </c>
      <c r="P214"/>
    </row>
    <row r="215" spans="1:16" x14ac:dyDescent="0.45">
      <c r="A215">
        <f t="shared" si="5"/>
        <v>153</v>
      </c>
      <c r="P215"/>
    </row>
    <row r="216" spans="1:16" x14ac:dyDescent="0.45">
      <c r="A216">
        <f t="shared" si="5"/>
        <v>154</v>
      </c>
      <c r="P216"/>
    </row>
    <row r="217" spans="1:16" x14ac:dyDescent="0.45">
      <c r="A217">
        <f t="shared" si="5"/>
        <v>155</v>
      </c>
      <c r="P217"/>
    </row>
    <row r="218" spans="1:16" x14ac:dyDescent="0.45">
      <c r="A218">
        <f t="shared" si="5"/>
        <v>156</v>
      </c>
      <c r="P218"/>
    </row>
    <row r="219" spans="1:16" x14ac:dyDescent="0.45">
      <c r="A219">
        <f t="shared" si="5"/>
        <v>157</v>
      </c>
      <c r="P219"/>
    </row>
    <row r="220" spans="1:16" x14ac:dyDescent="0.45">
      <c r="A220">
        <f t="shared" si="5"/>
        <v>158</v>
      </c>
      <c r="P220"/>
    </row>
    <row r="221" spans="1:16" x14ac:dyDescent="0.45">
      <c r="A221">
        <f t="shared" si="5"/>
        <v>159</v>
      </c>
      <c r="P221"/>
    </row>
    <row r="222" spans="1:16" x14ac:dyDescent="0.45">
      <c r="A222">
        <f t="shared" si="5"/>
        <v>160</v>
      </c>
      <c r="P222"/>
    </row>
    <row r="223" spans="1:16" x14ac:dyDescent="0.45">
      <c r="A223">
        <f t="shared" si="5"/>
        <v>161</v>
      </c>
      <c r="P223"/>
    </row>
    <row r="224" spans="1:16" x14ac:dyDescent="0.45">
      <c r="A224">
        <f t="shared" ref="A224:A255" si="6">A223+1</f>
        <v>162</v>
      </c>
      <c r="P224"/>
    </row>
    <row r="225" spans="1:16" x14ac:dyDescent="0.45">
      <c r="A225">
        <f t="shared" si="6"/>
        <v>163</v>
      </c>
      <c r="P225"/>
    </row>
    <row r="226" spans="1:16" x14ac:dyDescent="0.45">
      <c r="A226">
        <f t="shared" si="6"/>
        <v>164</v>
      </c>
      <c r="P226"/>
    </row>
    <row r="227" spans="1:16" x14ac:dyDescent="0.45">
      <c r="A227">
        <f t="shared" si="6"/>
        <v>165</v>
      </c>
      <c r="P227"/>
    </row>
    <row r="228" spans="1:16" x14ac:dyDescent="0.45">
      <c r="A228">
        <f t="shared" si="6"/>
        <v>166</v>
      </c>
      <c r="P228"/>
    </row>
    <row r="229" spans="1:16" x14ac:dyDescent="0.45">
      <c r="A229">
        <f t="shared" si="6"/>
        <v>167</v>
      </c>
      <c r="P229"/>
    </row>
    <row r="230" spans="1:16" x14ac:dyDescent="0.45">
      <c r="A230">
        <f t="shared" si="6"/>
        <v>168</v>
      </c>
      <c r="P230"/>
    </row>
    <row r="231" spans="1:16" x14ac:dyDescent="0.45">
      <c r="A231">
        <f t="shared" si="6"/>
        <v>169</v>
      </c>
      <c r="P231"/>
    </row>
    <row r="232" spans="1:16" x14ac:dyDescent="0.45">
      <c r="A232">
        <f t="shared" si="6"/>
        <v>170</v>
      </c>
      <c r="P232"/>
    </row>
    <row r="233" spans="1:16" x14ac:dyDescent="0.45">
      <c r="A233">
        <f t="shared" si="6"/>
        <v>171</v>
      </c>
      <c r="P233"/>
    </row>
    <row r="234" spans="1:16" x14ac:dyDescent="0.45">
      <c r="A234">
        <f t="shared" si="6"/>
        <v>172</v>
      </c>
      <c r="P234"/>
    </row>
    <row r="235" spans="1:16" x14ac:dyDescent="0.45">
      <c r="A235">
        <f t="shared" si="6"/>
        <v>173</v>
      </c>
      <c r="P235"/>
    </row>
    <row r="236" spans="1:16" x14ac:dyDescent="0.45">
      <c r="A236">
        <f t="shared" si="6"/>
        <v>174</v>
      </c>
      <c r="P236"/>
    </row>
    <row r="237" spans="1:16" x14ac:dyDescent="0.45">
      <c r="A237">
        <f t="shared" si="6"/>
        <v>175</v>
      </c>
      <c r="P237"/>
    </row>
    <row r="238" spans="1:16" x14ac:dyDescent="0.45">
      <c r="A238">
        <f t="shared" si="6"/>
        <v>176</v>
      </c>
      <c r="P238"/>
    </row>
    <row r="239" spans="1:16" x14ac:dyDescent="0.45">
      <c r="A239">
        <f t="shared" si="6"/>
        <v>177</v>
      </c>
      <c r="P239"/>
    </row>
    <row r="240" spans="1:16" x14ac:dyDescent="0.45">
      <c r="A240">
        <f t="shared" si="6"/>
        <v>178</v>
      </c>
      <c r="P240"/>
    </row>
    <row r="241" spans="1:16" x14ac:dyDescent="0.45">
      <c r="A241">
        <f t="shared" si="6"/>
        <v>179</v>
      </c>
      <c r="P241"/>
    </row>
    <row r="242" spans="1:16" x14ac:dyDescent="0.45">
      <c r="A242">
        <f t="shared" si="6"/>
        <v>180</v>
      </c>
      <c r="P242"/>
    </row>
    <row r="243" spans="1:16" x14ac:dyDescent="0.45">
      <c r="A243">
        <f t="shared" si="6"/>
        <v>181</v>
      </c>
      <c r="P243"/>
    </row>
    <row r="244" spans="1:16" x14ac:dyDescent="0.45">
      <c r="A244">
        <f t="shared" si="6"/>
        <v>182</v>
      </c>
      <c r="P244"/>
    </row>
    <row r="245" spans="1:16" x14ac:dyDescent="0.45">
      <c r="A245">
        <f t="shared" si="6"/>
        <v>183</v>
      </c>
      <c r="P245"/>
    </row>
    <row r="246" spans="1:16" x14ac:dyDescent="0.45">
      <c r="A246">
        <f t="shared" si="6"/>
        <v>184</v>
      </c>
      <c r="P246"/>
    </row>
    <row r="247" spans="1:16" x14ac:dyDescent="0.45">
      <c r="A247">
        <f t="shared" si="6"/>
        <v>185</v>
      </c>
      <c r="P247"/>
    </row>
    <row r="248" spans="1:16" x14ac:dyDescent="0.45">
      <c r="A248">
        <f t="shared" si="6"/>
        <v>186</v>
      </c>
      <c r="P248"/>
    </row>
    <row r="249" spans="1:16" x14ac:dyDescent="0.45">
      <c r="A249">
        <f t="shared" si="6"/>
        <v>187</v>
      </c>
      <c r="P249"/>
    </row>
    <row r="250" spans="1:16" x14ac:dyDescent="0.45">
      <c r="A250">
        <f t="shared" si="6"/>
        <v>188</v>
      </c>
      <c r="P250"/>
    </row>
    <row r="251" spans="1:16" x14ac:dyDescent="0.45">
      <c r="A251">
        <f t="shared" si="6"/>
        <v>189</v>
      </c>
      <c r="P251"/>
    </row>
    <row r="252" spans="1:16" x14ac:dyDescent="0.45">
      <c r="A252">
        <f t="shared" si="6"/>
        <v>190</v>
      </c>
      <c r="P252"/>
    </row>
    <row r="253" spans="1:16" x14ac:dyDescent="0.45">
      <c r="A253">
        <f t="shared" si="6"/>
        <v>191</v>
      </c>
      <c r="P253"/>
    </row>
    <row r="254" spans="1:16" x14ac:dyDescent="0.45">
      <c r="A254">
        <f t="shared" si="6"/>
        <v>192</v>
      </c>
      <c r="P254"/>
    </row>
    <row r="255" spans="1:16" x14ac:dyDescent="0.45">
      <c r="A255">
        <f t="shared" si="6"/>
        <v>193</v>
      </c>
      <c r="P255"/>
    </row>
    <row r="256" spans="1:16" x14ac:dyDescent="0.45">
      <c r="A256">
        <f t="shared" ref="A256:A262" si="7">A255+1</f>
        <v>194</v>
      </c>
      <c r="P256"/>
    </row>
    <row r="257" spans="1:16" x14ac:dyDescent="0.45">
      <c r="A257">
        <f t="shared" si="7"/>
        <v>195</v>
      </c>
      <c r="P257"/>
    </row>
    <row r="258" spans="1:16" x14ac:dyDescent="0.45">
      <c r="A258">
        <f t="shared" si="7"/>
        <v>196</v>
      </c>
      <c r="P258"/>
    </row>
    <row r="259" spans="1:16" x14ac:dyDescent="0.45">
      <c r="A259">
        <f t="shared" si="7"/>
        <v>197</v>
      </c>
      <c r="P259"/>
    </row>
    <row r="260" spans="1:16" x14ac:dyDescent="0.45">
      <c r="A260">
        <f t="shared" si="7"/>
        <v>198</v>
      </c>
      <c r="P260"/>
    </row>
    <row r="261" spans="1:16" x14ac:dyDescent="0.45">
      <c r="A261">
        <f t="shared" si="7"/>
        <v>199</v>
      </c>
      <c r="P261"/>
    </row>
    <row r="262" spans="1:16" x14ac:dyDescent="0.45">
      <c r="A262">
        <f t="shared" si="7"/>
        <v>200</v>
      </c>
      <c r="P262"/>
    </row>
  </sheetData>
  <phoneticPr fontId="3"/>
  <conditionalFormatting sqref="A63:R262">
    <cfRule type="expression" dxfId="11" priority="1">
      <formula>AND(   NOT(ISBLANK($E63)),   NOT(ISBLANK($N63)),   $N63 &lt;= TODAY(),   $I63 &lt;&gt; "Done" )</formula>
    </cfRule>
    <cfRule type="expression" dxfId="10" priority="2">
      <formula>AND(   NOT(ISBLANK($E63)),   NOT(ISBLANK($N63)),   $N63 &lt; TODAY()+2,   $I63 &lt;&gt; "Done" )</formula>
    </cfRule>
    <cfRule type="expression" dxfId="9" priority="7">
      <formula>$P63="YES"</formula>
    </cfRule>
    <cfRule type="expression" dxfId="8" priority="8">
      <formula>$I63="Done"</formula>
    </cfRule>
  </conditionalFormatting>
  <conditionalFormatting sqref="A33:A57">
    <cfRule type="expression" dxfId="3" priority="13">
      <formula>$O33="YES"</formula>
    </cfRule>
    <cfRule type="expression" dxfId="2" priority="14">
      <formula>#REF!="Done"</formula>
    </cfRule>
    <cfRule type="expression" dxfId="1" priority="15">
      <formula>AND($M33&lt;&gt;"",$M33&lt;=TODAY())</formula>
    </cfRule>
    <cfRule type="expression" dxfId="0" priority="16">
      <formula>AND($M33&lt;&gt;"",$M33&gt;=TODAY(),$M33&lt;=TODAY()+2)</formula>
    </cfRule>
  </conditionalFormatting>
  <dataValidations count="5">
    <dataValidation type="list" allowBlank="1" showInputMessage="1" showErrorMessage="1" sqref="B5" xr:uid="{00000000-0002-0000-0700-000000000000}">
      <formula1>lstOwner</formula1>
    </dataValidation>
    <dataValidation type="list" allowBlank="1" showInputMessage="1" showErrorMessage="1" sqref="B4" xr:uid="{00000000-0002-0000-0700-000001000000}">
      <formula1>lstSheetRole</formula1>
    </dataValidation>
    <dataValidation type="list" allowBlank="1" showInputMessage="1" showErrorMessage="1" sqref="B33:B57" xr:uid="{3D5BC0E1-CCBF-4EB7-BE6A-6A44EA2E8B21}">
      <formula1>lstEventType</formula1>
    </dataValidation>
    <dataValidation type="list" allowBlank="1" showInputMessage="1" showErrorMessage="1" sqref="G33:G57" xr:uid="{C81429BB-3518-4CF4-90C1-99BDE42CF80F}">
      <formula1>lstTimeCoverage</formula1>
    </dataValidation>
    <dataValidation type="list" allowBlank="1" showInputMessage="1" showErrorMessage="1" sqref="H33:H57" xr:uid="{B4293773-9F2A-4CD0-AF96-65C7C9887366}">
      <formula1>lstKanbanStatus</formula1>
    </dataValidation>
  </dataValidations>
  <hyperlinks>
    <hyperlink ref="B1" location="'00_Index'!A1" display="&lt;-Index" xr:uid="{00000000-0004-0000-0700-000000000000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11</xdr:row>
                    <xdr:rowOff>236220</xdr:rowOff>
                  </from>
                  <to>
                    <xdr:col>4</xdr:col>
                    <xdr:colOff>0</xdr:colOff>
                    <xdr:row>12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UpdatePersonalTask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B0FCD1-62AB-4E50-83B8-2C7B48FEDF20}">
  <sheetPr codeName="Sheet22"/>
  <dimension ref="A1:E8"/>
  <sheetViews>
    <sheetView workbookViewId="0">
      <selection activeCell="C12" sqref="C12"/>
    </sheetView>
  </sheetViews>
  <sheetFormatPr defaultRowHeight="18" x14ac:dyDescent="0.45"/>
  <cols>
    <col min="1" max="1" width="16.09765625" customWidth="1"/>
    <col min="2" max="2" width="14.296875" customWidth="1"/>
    <col min="3" max="3" width="26" bestFit="1" customWidth="1"/>
    <col min="4" max="4" width="13.59765625" customWidth="1"/>
    <col min="5" max="5" width="12.796875" customWidth="1"/>
  </cols>
  <sheetData>
    <row r="1" spans="1:5" x14ac:dyDescent="0.45">
      <c r="A1" t="s">
        <v>527</v>
      </c>
      <c r="B1" t="s">
        <v>529</v>
      </c>
      <c r="C1" t="s">
        <v>530</v>
      </c>
      <c r="D1" t="s">
        <v>531</v>
      </c>
      <c r="E1" t="s">
        <v>532</v>
      </c>
    </row>
    <row r="2" spans="1:5" x14ac:dyDescent="0.45">
      <c r="A2" t="s">
        <v>533</v>
      </c>
      <c r="B2" t="s">
        <v>534</v>
      </c>
      <c r="C2" t="s">
        <v>535</v>
      </c>
      <c r="D2">
        <v>1</v>
      </c>
      <c r="E2" t="b">
        <v>1</v>
      </c>
    </row>
    <row r="3" spans="1:5" x14ac:dyDescent="0.45">
      <c r="A3" t="s">
        <v>536</v>
      </c>
      <c r="B3" t="s">
        <v>537</v>
      </c>
      <c r="C3" t="s">
        <v>538</v>
      </c>
      <c r="D3">
        <v>0.5</v>
      </c>
      <c r="E3" t="b">
        <v>1</v>
      </c>
    </row>
    <row r="4" spans="1:5" x14ac:dyDescent="0.45">
      <c r="A4" t="s">
        <v>539</v>
      </c>
      <c r="B4" t="s">
        <v>540</v>
      </c>
      <c r="C4" t="s">
        <v>541</v>
      </c>
      <c r="D4">
        <v>0.5</v>
      </c>
      <c r="E4" t="b">
        <v>1</v>
      </c>
    </row>
    <row r="5" spans="1:5" x14ac:dyDescent="0.45">
      <c r="A5" t="s">
        <v>542</v>
      </c>
      <c r="B5" t="s">
        <v>543</v>
      </c>
      <c r="C5" t="s">
        <v>544</v>
      </c>
      <c r="D5">
        <v>0.75</v>
      </c>
      <c r="E5" t="b">
        <v>1</v>
      </c>
    </row>
    <row r="6" spans="1:5" x14ac:dyDescent="0.45">
      <c r="A6" t="s">
        <v>545</v>
      </c>
      <c r="B6" t="s">
        <v>546</v>
      </c>
      <c r="C6" t="s">
        <v>547</v>
      </c>
      <c r="D6">
        <v>0.25</v>
      </c>
      <c r="E6" t="b">
        <v>0</v>
      </c>
    </row>
    <row r="7" spans="1:5" x14ac:dyDescent="0.45">
      <c r="A7" t="s">
        <v>548</v>
      </c>
      <c r="B7" t="s">
        <v>549</v>
      </c>
      <c r="C7" t="s">
        <v>550</v>
      </c>
      <c r="D7">
        <v>0.5</v>
      </c>
      <c r="E7" t="b">
        <v>0</v>
      </c>
    </row>
    <row r="8" spans="1:5" x14ac:dyDescent="0.45">
      <c r="A8" t="s">
        <v>551</v>
      </c>
      <c r="B8" t="s">
        <v>552</v>
      </c>
      <c r="C8" t="s">
        <v>553</v>
      </c>
      <c r="D8">
        <v>0</v>
      </c>
      <c r="E8" t="b">
        <v>0</v>
      </c>
    </row>
  </sheetData>
  <phoneticPr fontId="3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D803F-8945-439F-A159-69E1D64907AF}">
  <sheetPr codeName="Sheet21"/>
  <dimension ref="A1:H17"/>
  <sheetViews>
    <sheetView workbookViewId="0">
      <selection activeCell="A17" sqref="A17:H17"/>
    </sheetView>
  </sheetViews>
  <sheetFormatPr defaultRowHeight="18" x14ac:dyDescent="0.45"/>
  <cols>
    <col min="1" max="1" width="18.59765625" bestFit="1" customWidth="1"/>
    <col min="2" max="2" width="16" customWidth="1"/>
    <col min="3" max="3" width="10.59765625" customWidth="1"/>
    <col min="4" max="4" width="43.69921875" bestFit="1" customWidth="1"/>
    <col min="5" max="5" width="30.3984375" bestFit="1" customWidth="1"/>
    <col min="6" max="6" width="17.8984375" customWidth="1"/>
    <col min="7" max="7" width="11.59765625" customWidth="1"/>
    <col min="8" max="8" width="16.59765625" customWidth="1"/>
  </cols>
  <sheetData>
    <row r="1" spans="1:8" x14ac:dyDescent="0.45">
      <c r="A1" t="s">
        <v>132</v>
      </c>
      <c r="B1" t="s">
        <v>453</v>
      </c>
      <c r="C1" t="s">
        <v>454</v>
      </c>
      <c r="D1" t="s">
        <v>455</v>
      </c>
      <c r="E1" t="s">
        <v>456</v>
      </c>
      <c r="F1" t="s">
        <v>457</v>
      </c>
      <c r="G1" t="s">
        <v>458</v>
      </c>
      <c r="H1" t="s">
        <v>459</v>
      </c>
    </row>
    <row r="2" spans="1:8" x14ac:dyDescent="0.45">
      <c r="A2" t="s">
        <v>460</v>
      </c>
      <c r="B2" t="s">
        <v>461</v>
      </c>
      <c r="C2" t="s">
        <v>462</v>
      </c>
      <c r="D2" t="s">
        <v>463</v>
      </c>
      <c r="E2" t="s">
        <v>464</v>
      </c>
      <c r="F2" t="b">
        <v>1</v>
      </c>
      <c r="G2" t="b">
        <v>1</v>
      </c>
      <c r="H2">
        <v>3</v>
      </c>
    </row>
    <row r="3" spans="1:8" x14ac:dyDescent="0.45">
      <c r="A3" t="s">
        <v>465</v>
      </c>
      <c r="B3" t="s">
        <v>466</v>
      </c>
      <c r="C3" t="s">
        <v>462</v>
      </c>
      <c r="D3" t="s">
        <v>467</v>
      </c>
      <c r="E3" t="s">
        <v>468</v>
      </c>
      <c r="F3" t="b">
        <v>1</v>
      </c>
      <c r="G3" t="b">
        <v>1</v>
      </c>
      <c r="H3">
        <v>1</v>
      </c>
    </row>
    <row r="4" spans="1:8" x14ac:dyDescent="0.45">
      <c r="A4" t="s">
        <v>469</v>
      </c>
      <c r="B4" t="s">
        <v>470</v>
      </c>
      <c r="C4" t="s">
        <v>462</v>
      </c>
      <c r="D4" t="s">
        <v>471</v>
      </c>
      <c r="E4" t="s">
        <v>472</v>
      </c>
      <c r="F4" t="b">
        <v>1</v>
      </c>
      <c r="G4" t="b">
        <v>1</v>
      </c>
      <c r="H4">
        <v>2</v>
      </c>
    </row>
    <row r="5" spans="1:8" x14ac:dyDescent="0.45">
      <c r="A5" t="s">
        <v>473</v>
      </c>
      <c r="B5" t="s">
        <v>95</v>
      </c>
      <c r="C5" t="s">
        <v>462</v>
      </c>
      <c r="D5" t="s">
        <v>474</v>
      </c>
      <c r="E5" t="s">
        <v>475</v>
      </c>
      <c r="F5" t="b">
        <v>1</v>
      </c>
      <c r="G5" t="b">
        <v>1</v>
      </c>
      <c r="H5">
        <v>2</v>
      </c>
    </row>
    <row r="6" spans="1:8" x14ac:dyDescent="0.45">
      <c r="A6" t="s">
        <v>476</v>
      </c>
      <c r="B6" t="s">
        <v>477</v>
      </c>
      <c r="C6" t="s">
        <v>478</v>
      </c>
      <c r="D6" t="s">
        <v>479</v>
      </c>
      <c r="E6" t="s">
        <v>480</v>
      </c>
      <c r="F6" t="b">
        <v>1</v>
      </c>
      <c r="G6" t="b">
        <v>0</v>
      </c>
      <c r="H6">
        <v>4</v>
      </c>
    </row>
    <row r="7" spans="1:8" x14ac:dyDescent="0.45">
      <c r="A7" t="s">
        <v>481</v>
      </c>
      <c r="B7" t="s">
        <v>482</v>
      </c>
      <c r="C7" t="s">
        <v>478</v>
      </c>
      <c r="D7" t="s">
        <v>483</v>
      </c>
      <c r="E7" t="s">
        <v>484</v>
      </c>
      <c r="F7" t="b">
        <v>1</v>
      </c>
      <c r="G7" t="b">
        <v>0</v>
      </c>
      <c r="H7">
        <v>3</v>
      </c>
    </row>
    <row r="8" spans="1:8" x14ac:dyDescent="0.45">
      <c r="A8" t="s">
        <v>197</v>
      </c>
      <c r="B8" t="s">
        <v>485</v>
      </c>
      <c r="C8" t="s">
        <v>462</v>
      </c>
      <c r="D8" t="s">
        <v>486</v>
      </c>
      <c r="E8" t="s">
        <v>487</v>
      </c>
      <c r="F8" t="b">
        <v>1</v>
      </c>
      <c r="G8" t="b">
        <v>1</v>
      </c>
      <c r="H8">
        <v>3</v>
      </c>
    </row>
    <row r="9" spans="1:8" x14ac:dyDescent="0.45">
      <c r="A9" t="s">
        <v>488</v>
      </c>
      <c r="B9" t="s">
        <v>489</v>
      </c>
      <c r="C9" t="s">
        <v>462</v>
      </c>
      <c r="D9" t="s">
        <v>490</v>
      </c>
      <c r="E9" t="s">
        <v>491</v>
      </c>
      <c r="F9" t="b">
        <v>1</v>
      </c>
      <c r="G9" t="b">
        <v>1</v>
      </c>
      <c r="H9">
        <v>2</v>
      </c>
    </row>
    <row r="10" spans="1:8" x14ac:dyDescent="0.45">
      <c r="A10" t="s">
        <v>492</v>
      </c>
      <c r="B10" t="s">
        <v>493</v>
      </c>
      <c r="C10" t="s">
        <v>462</v>
      </c>
      <c r="D10" t="s">
        <v>494</v>
      </c>
      <c r="E10" t="s">
        <v>495</v>
      </c>
      <c r="F10" t="b">
        <v>1</v>
      </c>
      <c r="G10" t="b">
        <v>1</v>
      </c>
      <c r="H10">
        <v>1</v>
      </c>
    </row>
    <row r="11" spans="1:8" x14ac:dyDescent="0.45">
      <c r="A11" t="s">
        <v>496</v>
      </c>
      <c r="B11" t="s">
        <v>497</v>
      </c>
      <c r="C11" t="s">
        <v>462</v>
      </c>
      <c r="D11" t="s">
        <v>498</v>
      </c>
      <c r="E11" t="s">
        <v>499</v>
      </c>
      <c r="F11" t="b">
        <v>1</v>
      </c>
      <c r="G11" t="b">
        <v>1</v>
      </c>
      <c r="H11">
        <v>1</v>
      </c>
    </row>
    <row r="12" spans="1:8" x14ac:dyDescent="0.45">
      <c r="A12" t="s">
        <v>500</v>
      </c>
      <c r="B12" t="s">
        <v>501</v>
      </c>
      <c r="C12" t="s">
        <v>462</v>
      </c>
      <c r="D12" t="s">
        <v>502</v>
      </c>
      <c r="E12" t="s">
        <v>503</v>
      </c>
      <c r="F12" t="b">
        <v>1</v>
      </c>
      <c r="G12" t="b">
        <v>0</v>
      </c>
      <c r="H12">
        <v>4</v>
      </c>
    </row>
    <row r="13" spans="1:8" x14ac:dyDescent="0.45">
      <c r="A13" t="s">
        <v>504</v>
      </c>
      <c r="B13" t="s">
        <v>505</v>
      </c>
      <c r="C13" t="s">
        <v>505</v>
      </c>
      <c r="D13" t="s">
        <v>506</v>
      </c>
      <c r="E13" t="s">
        <v>507</v>
      </c>
      <c r="F13" t="b">
        <v>1</v>
      </c>
      <c r="G13" t="b">
        <v>0</v>
      </c>
      <c r="H13">
        <v>5</v>
      </c>
    </row>
    <row r="14" spans="1:8" x14ac:dyDescent="0.45">
      <c r="A14" t="s">
        <v>508</v>
      </c>
      <c r="B14" t="s">
        <v>509</v>
      </c>
      <c r="C14" t="s">
        <v>510</v>
      </c>
      <c r="D14" t="s">
        <v>511</v>
      </c>
      <c r="E14" t="s">
        <v>512</v>
      </c>
      <c r="F14" t="b">
        <v>0</v>
      </c>
      <c r="G14" t="b">
        <v>0</v>
      </c>
      <c r="H14">
        <v>5</v>
      </c>
    </row>
    <row r="15" spans="1:8" x14ac:dyDescent="0.45">
      <c r="A15" t="s">
        <v>513</v>
      </c>
      <c r="B15" t="s">
        <v>514</v>
      </c>
      <c r="C15" t="s">
        <v>510</v>
      </c>
      <c r="D15" t="s">
        <v>515</v>
      </c>
      <c r="E15" t="s">
        <v>516</v>
      </c>
      <c r="F15" t="b">
        <v>0</v>
      </c>
      <c r="G15" t="b">
        <v>0</v>
      </c>
      <c r="H15">
        <v>5</v>
      </c>
    </row>
    <row r="16" spans="1:8" x14ac:dyDescent="0.45">
      <c r="A16" t="s">
        <v>517</v>
      </c>
      <c r="B16" t="s">
        <v>518</v>
      </c>
      <c r="C16" t="s">
        <v>519</v>
      </c>
      <c r="D16" t="s">
        <v>520</v>
      </c>
      <c r="E16" t="s">
        <v>521</v>
      </c>
      <c r="F16" t="b">
        <v>1</v>
      </c>
      <c r="G16" t="b">
        <v>0</v>
      </c>
      <c r="H16">
        <v>4</v>
      </c>
    </row>
    <row r="17" spans="1:8" x14ac:dyDescent="0.45">
      <c r="A17" t="s">
        <v>522</v>
      </c>
      <c r="B17" t="s">
        <v>523</v>
      </c>
      <c r="C17" t="s">
        <v>524</v>
      </c>
      <c r="D17" t="s">
        <v>525</v>
      </c>
      <c r="E17" t="s">
        <v>526</v>
      </c>
      <c r="F17" t="b">
        <v>0</v>
      </c>
      <c r="G17" t="b">
        <v>0</v>
      </c>
      <c r="H17">
        <v>5</v>
      </c>
    </row>
  </sheetData>
  <phoneticPr fontId="3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D102"/>
  <sheetViews>
    <sheetView workbookViewId="0"/>
  </sheetViews>
  <sheetFormatPr defaultRowHeight="18" x14ac:dyDescent="0.45"/>
  <cols>
    <col min="1" max="1" width="49.3984375" style="1" bestFit="1" customWidth="1"/>
    <col min="2" max="2" width="30.3984375" style="1" bestFit="1" customWidth="1"/>
    <col min="3" max="3" width="6.3984375" style="1" bestFit="1" customWidth="1"/>
    <col min="4" max="4" width="40.09765625" style="1" bestFit="1" customWidth="1"/>
  </cols>
  <sheetData>
    <row r="1" spans="1:4" x14ac:dyDescent="0.45">
      <c r="A1" s="1" t="s">
        <v>381</v>
      </c>
    </row>
    <row r="2" spans="1:4" x14ac:dyDescent="0.45">
      <c r="A2" s="14" t="s">
        <v>135</v>
      </c>
      <c r="B2" s="14" t="s">
        <v>4</v>
      </c>
      <c r="C2" s="14" t="s">
        <v>136</v>
      </c>
      <c r="D2" s="14" t="s">
        <v>1</v>
      </c>
    </row>
    <row r="3" spans="1:4" x14ac:dyDescent="0.45">
      <c r="A3" s="14" t="s">
        <v>137</v>
      </c>
      <c r="B3" s="14" t="s">
        <v>138</v>
      </c>
      <c r="C3" s="15"/>
      <c r="D3" s="14" t="s">
        <v>139</v>
      </c>
    </row>
    <row r="4" spans="1:4" x14ac:dyDescent="0.45">
      <c r="A4" s="15"/>
      <c r="B4" s="15"/>
      <c r="C4" s="15"/>
      <c r="D4" s="15"/>
    </row>
    <row r="5" spans="1:4" x14ac:dyDescent="0.45">
      <c r="A5" s="15"/>
      <c r="B5" s="15"/>
      <c r="C5" s="15"/>
      <c r="D5" s="15"/>
    </row>
    <row r="6" spans="1:4" x14ac:dyDescent="0.45">
      <c r="A6" s="15" t="s">
        <v>140</v>
      </c>
      <c r="B6" s="15" t="s">
        <v>141</v>
      </c>
      <c r="C6" s="15" t="s">
        <v>142</v>
      </c>
      <c r="D6" s="15" t="s">
        <v>143</v>
      </c>
    </row>
    <row r="7" spans="1:4" x14ac:dyDescent="0.45">
      <c r="A7" s="15" t="s">
        <v>382</v>
      </c>
      <c r="B7" s="15" t="s">
        <v>144</v>
      </c>
      <c r="C7" s="15" t="s">
        <v>142</v>
      </c>
      <c r="D7" s="15" t="s">
        <v>379</v>
      </c>
    </row>
    <row r="8" spans="1:4" x14ac:dyDescent="0.45">
      <c r="A8" s="15"/>
      <c r="B8" s="15"/>
      <c r="C8" s="15"/>
      <c r="D8" s="15"/>
    </row>
    <row r="9" spans="1:4" x14ac:dyDescent="0.45">
      <c r="A9" s="15" t="s">
        <v>384</v>
      </c>
      <c r="B9" s="15" t="s">
        <v>145</v>
      </c>
      <c r="C9" s="15"/>
      <c r="D9" s="16">
        <v>46056</v>
      </c>
    </row>
    <row r="10" spans="1:4" x14ac:dyDescent="0.45">
      <c r="A10" s="15"/>
      <c r="B10" s="15"/>
      <c r="C10" s="15"/>
      <c r="D10" s="15"/>
    </row>
    <row r="11" spans="1:4" x14ac:dyDescent="0.45">
      <c r="A11" s="15" t="s">
        <v>146</v>
      </c>
      <c r="B11" s="15"/>
      <c r="C11" s="15" t="s">
        <v>142</v>
      </c>
      <c r="D11" s="15" t="s">
        <v>147</v>
      </c>
    </row>
    <row r="12" spans="1:4" x14ac:dyDescent="0.45">
      <c r="A12" s="15" t="s">
        <v>148</v>
      </c>
      <c r="B12" s="15"/>
      <c r="C12" s="15" t="s">
        <v>142</v>
      </c>
      <c r="D12" s="15" t="s">
        <v>149</v>
      </c>
    </row>
    <row r="13" spans="1:4" x14ac:dyDescent="0.45">
      <c r="A13" s="15"/>
      <c r="B13" s="15"/>
      <c r="C13" s="15"/>
      <c r="D13" s="15"/>
    </row>
    <row r="14" spans="1:4" x14ac:dyDescent="0.45">
      <c r="A14" s="15"/>
      <c r="B14" s="15"/>
      <c r="C14" s="15"/>
      <c r="D14" s="15"/>
    </row>
    <row r="15" spans="1:4" x14ac:dyDescent="0.45">
      <c r="A15" s="15"/>
      <c r="B15" s="15"/>
      <c r="C15" s="15"/>
      <c r="D15" s="15"/>
    </row>
    <row r="16" spans="1:4" x14ac:dyDescent="0.45">
      <c r="A16" s="15"/>
      <c r="B16" s="15"/>
      <c r="C16" s="15"/>
      <c r="D16" s="15"/>
    </row>
    <row r="17" spans="1:4" x14ac:dyDescent="0.45">
      <c r="A17" s="15"/>
      <c r="B17" s="15"/>
      <c r="C17" s="15"/>
      <c r="D17" s="15"/>
    </row>
    <row r="18" spans="1:4" x14ac:dyDescent="0.45">
      <c r="A18" s="15"/>
      <c r="B18" s="15"/>
      <c r="C18" s="15"/>
      <c r="D18" s="15"/>
    </row>
    <row r="19" spans="1:4" x14ac:dyDescent="0.45">
      <c r="A19" s="15"/>
      <c r="B19" s="15"/>
      <c r="C19" s="15"/>
      <c r="D19" s="15"/>
    </row>
    <row r="20" spans="1:4" x14ac:dyDescent="0.45">
      <c r="A20" s="15"/>
      <c r="B20" s="15"/>
      <c r="C20" s="15"/>
      <c r="D20" s="15"/>
    </row>
    <row r="21" spans="1:4" x14ac:dyDescent="0.45">
      <c r="A21" s="15"/>
      <c r="B21" s="15"/>
      <c r="C21" s="15"/>
      <c r="D21" s="15"/>
    </row>
    <row r="22" spans="1:4" x14ac:dyDescent="0.45">
      <c r="A22" s="15"/>
      <c r="B22" s="15"/>
      <c r="C22" s="15"/>
      <c r="D22" s="15"/>
    </row>
    <row r="23" spans="1:4" x14ac:dyDescent="0.45">
      <c r="A23" s="15"/>
      <c r="B23" s="15"/>
      <c r="C23" s="15"/>
      <c r="D23" s="15"/>
    </row>
    <row r="24" spans="1:4" x14ac:dyDescent="0.45">
      <c r="A24" s="15"/>
      <c r="B24" s="15"/>
      <c r="C24" s="15"/>
      <c r="D24" s="15"/>
    </row>
    <row r="25" spans="1:4" x14ac:dyDescent="0.45">
      <c r="A25" s="15"/>
      <c r="B25" s="15"/>
      <c r="C25" s="15"/>
      <c r="D25" s="15"/>
    </row>
    <row r="26" spans="1:4" x14ac:dyDescent="0.45">
      <c r="A26" s="15"/>
      <c r="B26" s="15"/>
      <c r="C26" s="15"/>
      <c r="D26" s="15"/>
    </row>
    <row r="27" spans="1:4" x14ac:dyDescent="0.45">
      <c r="A27" s="15"/>
      <c r="B27" s="15"/>
      <c r="C27" s="15"/>
      <c r="D27" s="15"/>
    </row>
    <row r="28" spans="1:4" x14ac:dyDescent="0.45">
      <c r="A28" s="15"/>
      <c r="B28" s="15"/>
      <c r="C28" s="15"/>
      <c r="D28" s="15"/>
    </row>
    <row r="29" spans="1:4" x14ac:dyDescent="0.45">
      <c r="A29" s="15"/>
      <c r="B29" s="15"/>
      <c r="C29" s="15"/>
      <c r="D29" s="15"/>
    </row>
    <row r="30" spans="1:4" x14ac:dyDescent="0.45">
      <c r="A30" s="15"/>
      <c r="B30" s="15"/>
      <c r="C30" s="15"/>
      <c r="D30" s="15"/>
    </row>
    <row r="31" spans="1:4" x14ac:dyDescent="0.45">
      <c r="A31" s="15"/>
      <c r="B31" s="15"/>
      <c r="C31" s="15"/>
      <c r="D31" s="15"/>
    </row>
    <row r="32" spans="1:4" x14ac:dyDescent="0.45">
      <c r="A32" s="15"/>
      <c r="B32" s="15"/>
      <c r="C32" s="15"/>
      <c r="D32" s="15"/>
    </row>
    <row r="33" spans="1:4" x14ac:dyDescent="0.45">
      <c r="A33" s="15"/>
      <c r="B33" s="15"/>
      <c r="C33" s="15"/>
      <c r="D33" s="15"/>
    </row>
    <row r="34" spans="1:4" x14ac:dyDescent="0.45">
      <c r="A34" s="15"/>
      <c r="B34" s="15"/>
      <c r="C34" s="15"/>
      <c r="D34" s="15"/>
    </row>
    <row r="35" spans="1:4" x14ac:dyDescent="0.45">
      <c r="A35" s="15"/>
      <c r="B35" s="15"/>
      <c r="C35" s="15"/>
      <c r="D35" s="15"/>
    </row>
    <row r="36" spans="1:4" x14ac:dyDescent="0.45">
      <c r="A36" s="15"/>
      <c r="B36" s="15"/>
      <c r="C36" s="15"/>
      <c r="D36" s="15"/>
    </row>
    <row r="37" spans="1:4" x14ac:dyDescent="0.45">
      <c r="A37" s="15"/>
      <c r="B37" s="15"/>
      <c r="C37" s="15"/>
      <c r="D37" s="15"/>
    </row>
    <row r="38" spans="1:4" x14ac:dyDescent="0.45">
      <c r="A38" s="15"/>
      <c r="B38" s="15"/>
      <c r="C38" s="15"/>
      <c r="D38" s="15"/>
    </row>
    <row r="39" spans="1:4" x14ac:dyDescent="0.45">
      <c r="A39" s="15"/>
      <c r="B39" s="15"/>
      <c r="C39" s="15"/>
      <c r="D39" s="15"/>
    </row>
    <row r="40" spans="1:4" x14ac:dyDescent="0.45">
      <c r="A40" s="15"/>
      <c r="B40" s="15"/>
      <c r="C40" s="15"/>
      <c r="D40" s="15"/>
    </row>
    <row r="41" spans="1:4" x14ac:dyDescent="0.45">
      <c r="A41" s="15"/>
      <c r="B41" s="15"/>
      <c r="C41" s="15"/>
      <c r="D41" s="15"/>
    </row>
    <row r="42" spans="1:4" x14ac:dyDescent="0.45">
      <c r="A42" s="15"/>
      <c r="B42" s="15"/>
      <c r="C42" s="15"/>
      <c r="D42" s="15"/>
    </row>
    <row r="43" spans="1:4" x14ac:dyDescent="0.45">
      <c r="A43" s="15"/>
      <c r="B43" s="15"/>
      <c r="C43" s="15"/>
      <c r="D43" s="15"/>
    </row>
    <row r="44" spans="1:4" x14ac:dyDescent="0.45">
      <c r="A44" s="15"/>
      <c r="B44" s="15"/>
      <c r="C44" s="15"/>
      <c r="D44" s="15"/>
    </row>
    <row r="45" spans="1:4" x14ac:dyDescent="0.45">
      <c r="A45" s="15"/>
      <c r="B45" s="15"/>
      <c r="C45" s="15"/>
      <c r="D45" s="15"/>
    </row>
    <row r="46" spans="1:4" x14ac:dyDescent="0.45">
      <c r="A46" s="15"/>
      <c r="B46" s="15"/>
      <c r="C46" s="15"/>
      <c r="D46" s="15"/>
    </row>
    <row r="47" spans="1:4" x14ac:dyDescent="0.45">
      <c r="A47" s="15"/>
      <c r="B47" s="15"/>
      <c r="C47" s="15"/>
      <c r="D47" s="15"/>
    </row>
    <row r="48" spans="1:4" x14ac:dyDescent="0.45">
      <c r="A48" s="15"/>
      <c r="B48" s="15"/>
      <c r="C48" s="15"/>
      <c r="D48" s="15"/>
    </row>
    <row r="49" spans="1:4" x14ac:dyDescent="0.45">
      <c r="A49" s="15"/>
      <c r="B49" s="15"/>
      <c r="C49" s="15"/>
      <c r="D49" s="15"/>
    </row>
    <row r="50" spans="1:4" x14ac:dyDescent="0.45">
      <c r="A50" s="15"/>
      <c r="B50" s="15"/>
      <c r="C50" s="15"/>
      <c r="D50" s="15"/>
    </row>
    <row r="51" spans="1:4" x14ac:dyDescent="0.45">
      <c r="A51" s="15"/>
      <c r="B51" s="15"/>
      <c r="C51" s="15"/>
      <c r="D51" s="15"/>
    </row>
    <row r="52" spans="1:4" x14ac:dyDescent="0.45">
      <c r="A52" s="15"/>
      <c r="B52" s="15"/>
      <c r="C52" s="15"/>
      <c r="D52" s="15"/>
    </row>
    <row r="53" spans="1:4" x14ac:dyDescent="0.45">
      <c r="A53" s="15"/>
      <c r="B53" s="15"/>
      <c r="C53" s="15"/>
      <c r="D53" s="15"/>
    </row>
    <row r="54" spans="1:4" x14ac:dyDescent="0.45">
      <c r="A54" s="15"/>
      <c r="B54" s="15"/>
      <c r="C54" s="15"/>
      <c r="D54" s="15"/>
    </row>
    <row r="55" spans="1:4" x14ac:dyDescent="0.45">
      <c r="A55" s="15"/>
      <c r="B55" s="15"/>
      <c r="C55" s="15"/>
      <c r="D55" s="15"/>
    </row>
    <row r="56" spans="1:4" x14ac:dyDescent="0.45">
      <c r="A56" s="15"/>
      <c r="B56" s="15"/>
      <c r="C56" s="15"/>
      <c r="D56" s="15"/>
    </row>
    <row r="57" spans="1:4" x14ac:dyDescent="0.45">
      <c r="A57" s="15"/>
      <c r="B57" s="15"/>
      <c r="C57" s="15"/>
      <c r="D57" s="15"/>
    </row>
    <row r="58" spans="1:4" x14ac:dyDescent="0.45">
      <c r="A58" s="15"/>
      <c r="B58" s="15"/>
      <c r="C58" s="15"/>
      <c r="D58" s="15"/>
    </row>
    <row r="59" spans="1:4" x14ac:dyDescent="0.45">
      <c r="A59" s="15"/>
      <c r="B59" s="15"/>
      <c r="C59" s="15"/>
      <c r="D59" s="15"/>
    </row>
    <row r="60" spans="1:4" x14ac:dyDescent="0.45">
      <c r="A60" s="15"/>
      <c r="B60" s="15"/>
      <c r="C60" s="15"/>
      <c r="D60" s="15"/>
    </row>
    <row r="61" spans="1:4" x14ac:dyDescent="0.45">
      <c r="A61" s="15"/>
      <c r="B61" s="15"/>
      <c r="C61" s="15"/>
      <c r="D61" s="15"/>
    </row>
    <row r="62" spans="1:4" x14ac:dyDescent="0.45">
      <c r="A62" s="15"/>
      <c r="B62" s="15"/>
      <c r="C62" s="15"/>
      <c r="D62" s="15"/>
    </row>
    <row r="63" spans="1:4" x14ac:dyDescent="0.45">
      <c r="A63" s="15"/>
      <c r="B63" s="15"/>
      <c r="C63" s="15"/>
      <c r="D63" s="15"/>
    </row>
    <row r="64" spans="1:4" x14ac:dyDescent="0.45">
      <c r="A64" s="15"/>
      <c r="B64" s="15"/>
      <c r="C64" s="15"/>
      <c r="D64" s="15"/>
    </row>
    <row r="65" spans="1:4" x14ac:dyDescent="0.45">
      <c r="A65" s="15"/>
      <c r="B65" s="15"/>
      <c r="C65" s="15"/>
      <c r="D65" s="15"/>
    </row>
    <row r="66" spans="1:4" x14ac:dyDescent="0.45">
      <c r="A66" s="15"/>
      <c r="B66" s="15"/>
      <c r="C66" s="15"/>
      <c r="D66" s="15"/>
    </row>
    <row r="67" spans="1:4" x14ac:dyDescent="0.45">
      <c r="A67" s="15"/>
      <c r="B67" s="15"/>
      <c r="C67" s="15"/>
      <c r="D67" s="15"/>
    </row>
    <row r="68" spans="1:4" x14ac:dyDescent="0.45">
      <c r="A68" s="15"/>
      <c r="B68" s="15"/>
      <c r="C68" s="15"/>
      <c r="D68" s="15"/>
    </row>
    <row r="69" spans="1:4" x14ac:dyDescent="0.45">
      <c r="A69" s="15"/>
      <c r="B69" s="15"/>
      <c r="C69" s="15"/>
      <c r="D69" s="15"/>
    </row>
    <row r="70" spans="1:4" x14ac:dyDescent="0.45">
      <c r="A70" s="15"/>
      <c r="B70" s="15"/>
      <c r="C70" s="15"/>
      <c r="D70" s="15"/>
    </row>
    <row r="71" spans="1:4" x14ac:dyDescent="0.45">
      <c r="A71" s="15"/>
      <c r="B71" s="15"/>
      <c r="C71" s="15"/>
      <c r="D71" s="15"/>
    </row>
    <row r="72" spans="1:4" x14ac:dyDescent="0.45">
      <c r="A72" s="15"/>
      <c r="B72" s="15"/>
      <c r="C72" s="15"/>
      <c r="D72" s="15"/>
    </row>
    <row r="73" spans="1:4" x14ac:dyDescent="0.45">
      <c r="A73" s="15"/>
      <c r="B73" s="15"/>
      <c r="C73" s="15"/>
      <c r="D73" s="15"/>
    </row>
    <row r="74" spans="1:4" x14ac:dyDescent="0.45">
      <c r="A74" s="15"/>
      <c r="B74" s="15"/>
      <c r="C74" s="15"/>
      <c r="D74" s="15"/>
    </row>
    <row r="75" spans="1:4" x14ac:dyDescent="0.45">
      <c r="A75" s="15"/>
      <c r="B75" s="15"/>
      <c r="C75" s="15"/>
      <c r="D75" s="15"/>
    </row>
    <row r="76" spans="1:4" x14ac:dyDescent="0.45">
      <c r="A76" s="15"/>
      <c r="B76" s="15"/>
      <c r="C76" s="15"/>
      <c r="D76" s="15"/>
    </row>
    <row r="77" spans="1:4" x14ac:dyDescent="0.45">
      <c r="A77" s="15"/>
      <c r="B77" s="15"/>
      <c r="C77" s="15"/>
      <c r="D77" s="15"/>
    </row>
    <row r="78" spans="1:4" x14ac:dyDescent="0.45">
      <c r="A78" s="15"/>
      <c r="B78" s="15"/>
      <c r="C78" s="15"/>
      <c r="D78" s="15"/>
    </row>
    <row r="79" spans="1:4" x14ac:dyDescent="0.45">
      <c r="A79" s="15"/>
      <c r="B79" s="15"/>
      <c r="C79" s="15"/>
      <c r="D79" s="15"/>
    </row>
    <row r="80" spans="1:4" x14ac:dyDescent="0.45">
      <c r="A80" s="15"/>
      <c r="B80" s="15"/>
      <c r="C80" s="15"/>
      <c r="D80" s="15"/>
    </row>
    <row r="81" spans="1:4" x14ac:dyDescent="0.45">
      <c r="A81" s="15"/>
      <c r="B81" s="15"/>
      <c r="C81" s="15"/>
      <c r="D81" s="15"/>
    </row>
    <row r="82" spans="1:4" x14ac:dyDescent="0.45">
      <c r="A82" s="15"/>
      <c r="B82" s="15"/>
      <c r="C82" s="15"/>
      <c r="D82" s="15"/>
    </row>
    <row r="83" spans="1:4" x14ac:dyDescent="0.45">
      <c r="A83" s="15"/>
      <c r="B83" s="15"/>
      <c r="C83" s="15"/>
      <c r="D83" s="15"/>
    </row>
    <row r="84" spans="1:4" x14ac:dyDescent="0.45">
      <c r="A84" s="15"/>
      <c r="B84" s="15"/>
      <c r="C84" s="15"/>
      <c r="D84" s="15"/>
    </row>
    <row r="85" spans="1:4" x14ac:dyDescent="0.45">
      <c r="A85" s="15"/>
      <c r="B85" s="15"/>
      <c r="C85" s="15"/>
      <c r="D85" s="15"/>
    </row>
    <row r="86" spans="1:4" x14ac:dyDescent="0.45">
      <c r="A86" s="15"/>
      <c r="B86" s="15"/>
      <c r="C86" s="15"/>
      <c r="D86" s="15"/>
    </row>
    <row r="87" spans="1:4" x14ac:dyDescent="0.45">
      <c r="A87" s="15"/>
      <c r="B87" s="15"/>
      <c r="C87" s="15"/>
      <c r="D87" s="15"/>
    </row>
    <row r="88" spans="1:4" x14ac:dyDescent="0.45">
      <c r="A88" s="15"/>
      <c r="B88" s="15"/>
      <c r="C88" s="15"/>
      <c r="D88" s="15"/>
    </row>
    <row r="89" spans="1:4" x14ac:dyDescent="0.45">
      <c r="A89" s="15"/>
      <c r="B89" s="15"/>
      <c r="C89" s="15"/>
      <c r="D89" s="15"/>
    </row>
    <row r="90" spans="1:4" x14ac:dyDescent="0.45">
      <c r="A90" s="15"/>
      <c r="B90" s="15"/>
      <c r="C90" s="15"/>
      <c r="D90" s="15"/>
    </row>
    <row r="91" spans="1:4" x14ac:dyDescent="0.45">
      <c r="A91" s="15"/>
      <c r="B91" s="15"/>
      <c r="C91" s="15"/>
      <c r="D91" s="15"/>
    </row>
    <row r="92" spans="1:4" x14ac:dyDescent="0.45">
      <c r="A92" s="15"/>
      <c r="B92" s="15"/>
      <c r="C92" s="15"/>
      <c r="D92" s="15"/>
    </row>
    <row r="93" spans="1:4" x14ac:dyDescent="0.45">
      <c r="A93" s="15"/>
      <c r="B93" s="15"/>
      <c r="C93" s="15"/>
      <c r="D93" s="15"/>
    </row>
    <row r="94" spans="1:4" x14ac:dyDescent="0.45">
      <c r="A94" s="15"/>
      <c r="B94" s="15"/>
      <c r="C94" s="15"/>
      <c r="D94" s="15"/>
    </row>
    <row r="95" spans="1:4" x14ac:dyDescent="0.45">
      <c r="A95" s="15"/>
      <c r="B95" s="15"/>
      <c r="C95" s="15"/>
      <c r="D95" s="15"/>
    </row>
    <row r="96" spans="1:4" x14ac:dyDescent="0.45">
      <c r="A96" s="15"/>
      <c r="B96" s="15"/>
      <c r="C96" s="15"/>
      <c r="D96" s="15"/>
    </row>
    <row r="97" spans="1:4" x14ac:dyDescent="0.45">
      <c r="A97" s="15"/>
      <c r="B97" s="15"/>
      <c r="C97" s="15"/>
      <c r="D97" s="15"/>
    </row>
    <row r="98" spans="1:4" x14ac:dyDescent="0.45">
      <c r="A98" s="15"/>
      <c r="B98" s="15"/>
      <c r="C98" s="15"/>
      <c r="D98" s="15"/>
    </row>
    <row r="99" spans="1:4" x14ac:dyDescent="0.45">
      <c r="A99" s="15"/>
      <c r="B99" s="15"/>
      <c r="C99" s="15"/>
      <c r="D99" s="15"/>
    </row>
    <row r="100" spans="1:4" x14ac:dyDescent="0.45">
      <c r="A100" s="15"/>
      <c r="B100" s="15"/>
      <c r="C100" s="15"/>
      <c r="D100" s="15"/>
    </row>
    <row r="101" spans="1:4" x14ac:dyDescent="0.45">
      <c r="A101" s="15"/>
      <c r="B101" s="15"/>
      <c r="C101" s="15"/>
      <c r="D101" s="15"/>
    </row>
    <row r="102" spans="1:4" x14ac:dyDescent="0.45">
      <c r="A102" s="15"/>
      <c r="B102" s="15"/>
      <c r="C102" s="15"/>
      <c r="D102" s="15"/>
    </row>
  </sheetData>
  <phoneticPr fontId="3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D21"/>
  <sheetViews>
    <sheetView workbookViewId="0">
      <selection activeCell="D10" sqref="A1:D10"/>
    </sheetView>
  </sheetViews>
  <sheetFormatPr defaultRowHeight="18" x14ac:dyDescent="0.45"/>
  <cols>
    <col min="1" max="1" width="6" bestFit="1" customWidth="1"/>
    <col min="2" max="2" width="15.3984375" style="1" bestFit="1" customWidth="1"/>
    <col min="3" max="3" width="13.3984375" style="1" bestFit="1" customWidth="1"/>
    <col min="4" max="4" width="23.5" style="1" bestFit="1" customWidth="1"/>
  </cols>
  <sheetData>
    <row r="1" spans="1:4" x14ac:dyDescent="0.45">
      <c r="A1" t="s">
        <v>17</v>
      </c>
      <c r="B1" t="s">
        <v>150</v>
      </c>
      <c r="C1" t="s">
        <v>107</v>
      </c>
      <c r="D1" t="s">
        <v>151</v>
      </c>
    </row>
    <row r="2" spans="1:4" x14ac:dyDescent="0.45">
      <c r="A2">
        <v>1</v>
      </c>
      <c r="B2" t="s">
        <v>152</v>
      </c>
      <c r="C2">
        <v>10</v>
      </c>
      <c r="D2" t="s">
        <v>153</v>
      </c>
    </row>
    <row r="3" spans="1:4" x14ac:dyDescent="0.45">
      <c r="A3">
        <v>2</v>
      </c>
      <c r="B3" t="s">
        <v>154</v>
      </c>
      <c r="C3">
        <v>20</v>
      </c>
      <c r="D3" t="s">
        <v>155</v>
      </c>
    </row>
    <row r="4" spans="1:4" x14ac:dyDescent="0.45">
      <c r="A4">
        <v>3</v>
      </c>
      <c r="B4" t="s">
        <v>147</v>
      </c>
      <c r="C4">
        <v>30</v>
      </c>
      <c r="D4" t="s">
        <v>156</v>
      </c>
    </row>
    <row r="5" spans="1:4" x14ac:dyDescent="0.45">
      <c r="A5">
        <v>4</v>
      </c>
      <c r="B5" t="s">
        <v>149</v>
      </c>
      <c r="C5">
        <v>40</v>
      </c>
      <c r="D5" t="s">
        <v>157</v>
      </c>
    </row>
    <row r="6" spans="1:4" x14ac:dyDescent="0.45">
      <c r="A6">
        <v>5</v>
      </c>
      <c r="B6" t="s">
        <v>158</v>
      </c>
      <c r="C6">
        <v>50</v>
      </c>
      <c r="D6" t="s">
        <v>159</v>
      </c>
    </row>
    <row r="7" spans="1:4" x14ac:dyDescent="0.45">
      <c r="A7">
        <v>6</v>
      </c>
      <c r="B7" t="s">
        <v>160</v>
      </c>
      <c r="C7">
        <v>60</v>
      </c>
      <c r="D7" t="s">
        <v>161</v>
      </c>
    </row>
    <row r="8" spans="1:4" x14ac:dyDescent="0.45">
      <c r="A8">
        <v>7</v>
      </c>
      <c r="B8" s="1" t="s">
        <v>391</v>
      </c>
      <c r="C8">
        <v>70</v>
      </c>
      <c r="D8" s="1" t="s">
        <v>394</v>
      </c>
    </row>
    <row r="9" spans="1:4" x14ac:dyDescent="0.45">
      <c r="A9">
        <v>8</v>
      </c>
      <c r="B9" s="1" t="s">
        <v>392</v>
      </c>
      <c r="C9">
        <v>80</v>
      </c>
      <c r="D9" s="1" t="s">
        <v>395</v>
      </c>
    </row>
    <row r="10" spans="1:4" x14ac:dyDescent="0.45">
      <c r="A10">
        <v>9</v>
      </c>
      <c r="B10" s="1" t="s">
        <v>393</v>
      </c>
      <c r="C10">
        <v>90</v>
      </c>
      <c r="D10" s="1" t="s">
        <v>396</v>
      </c>
    </row>
    <row r="11" spans="1:4" x14ac:dyDescent="0.45">
      <c r="A11">
        <v>10</v>
      </c>
    </row>
    <row r="12" spans="1:4" x14ac:dyDescent="0.45">
      <c r="A12">
        <v>11</v>
      </c>
    </row>
    <row r="13" spans="1:4" x14ac:dyDescent="0.45">
      <c r="A13">
        <v>12</v>
      </c>
    </row>
    <row r="14" spans="1:4" x14ac:dyDescent="0.45">
      <c r="A14">
        <v>13</v>
      </c>
    </row>
    <row r="15" spans="1:4" x14ac:dyDescent="0.45">
      <c r="A15">
        <v>14</v>
      </c>
    </row>
    <row r="16" spans="1:4" x14ac:dyDescent="0.45">
      <c r="A16">
        <v>15</v>
      </c>
    </row>
    <row r="17" spans="1:1" x14ac:dyDescent="0.45">
      <c r="A17">
        <v>16</v>
      </c>
    </row>
    <row r="18" spans="1:1" x14ac:dyDescent="0.45">
      <c r="A18">
        <v>17</v>
      </c>
    </row>
    <row r="19" spans="1:1" x14ac:dyDescent="0.45">
      <c r="A19">
        <v>18</v>
      </c>
    </row>
    <row r="20" spans="1:1" x14ac:dyDescent="0.45">
      <c r="A20">
        <v>19</v>
      </c>
    </row>
    <row r="21" spans="1:1" x14ac:dyDescent="0.45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B21"/>
  <sheetViews>
    <sheetView workbookViewId="0">
      <selection activeCell="F8" sqref="F8"/>
    </sheetView>
  </sheetViews>
  <sheetFormatPr defaultRowHeight="18" x14ac:dyDescent="0.45"/>
  <sheetData>
    <row r="1" spans="1:2" x14ac:dyDescent="0.45">
      <c r="A1" t="s">
        <v>17</v>
      </c>
      <c r="B1" t="s">
        <v>162</v>
      </c>
    </row>
    <row r="2" spans="1:2" x14ac:dyDescent="0.45">
      <c r="A2">
        <v>1</v>
      </c>
      <c r="B2" t="s">
        <v>71</v>
      </c>
    </row>
    <row r="3" spans="1:2" x14ac:dyDescent="0.45">
      <c r="A3">
        <v>2</v>
      </c>
      <c r="B3" t="s">
        <v>163</v>
      </c>
    </row>
    <row r="4" spans="1:2" x14ac:dyDescent="0.45">
      <c r="A4">
        <v>3</v>
      </c>
      <c r="B4" t="s">
        <v>164</v>
      </c>
    </row>
    <row r="5" spans="1:2" x14ac:dyDescent="0.45">
      <c r="A5">
        <v>4</v>
      </c>
      <c r="B5" t="s">
        <v>165</v>
      </c>
    </row>
    <row r="6" spans="1:2" x14ac:dyDescent="0.45">
      <c r="A6">
        <v>5</v>
      </c>
      <c r="B6" t="s">
        <v>166</v>
      </c>
    </row>
    <row r="7" spans="1:2" x14ac:dyDescent="0.45">
      <c r="A7">
        <v>6</v>
      </c>
      <c r="B7" t="s">
        <v>167</v>
      </c>
    </row>
    <row r="8" spans="1:2" x14ac:dyDescent="0.45">
      <c r="A8">
        <v>7</v>
      </c>
      <c r="B8" t="s">
        <v>168</v>
      </c>
    </row>
    <row r="9" spans="1:2" x14ac:dyDescent="0.45">
      <c r="A9">
        <v>8</v>
      </c>
    </row>
    <row r="10" spans="1:2" x14ac:dyDescent="0.45">
      <c r="A10">
        <v>9</v>
      </c>
    </row>
    <row r="11" spans="1:2" x14ac:dyDescent="0.45">
      <c r="A11">
        <v>10</v>
      </c>
    </row>
    <row r="12" spans="1:2" x14ac:dyDescent="0.45">
      <c r="A12">
        <v>11</v>
      </c>
    </row>
    <row r="13" spans="1:2" x14ac:dyDescent="0.45">
      <c r="A13">
        <v>12</v>
      </c>
    </row>
    <row r="14" spans="1:2" x14ac:dyDescent="0.45">
      <c r="A14">
        <v>13</v>
      </c>
    </row>
    <row r="15" spans="1:2" x14ac:dyDescent="0.45">
      <c r="A15">
        <v>14</v>
      </c>
    </row>
    <row r="16" spans="1:2" x14ac:dyDescent="0.45">
      <c r="A16">
        <v>15</v>
      </c>
    </row>
    <row r="17" spans="1:1" x14ac:dyDescent="0.45">
      <c r="A17">
        <v>16</v>
      </c>
    </row>
    <row r="18" spans="1:1" x14ac:dyDescent="0.45">
      <c r="A18">
        <v>17</v>
      </c>
    </row>
    <row r="19" spans="1:1" x14ac:dyDescent="0.45">
      <c r="A19">
        <v>18</v>
      </c>
    </row>
    <row r="20" spans="1:1" x14ac:dyDescent="0.45">
      <c r="A20">
        <v>19</v>
      </c>
    </row>
    <row r="21" spans="1:1" x14ac:dyDescent="0.45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H26"/>
  <sheetViews>
    <sheetView workbookViewId="0">
      <selection activeCell="C1" sqref="C1"/>
    </sheetView>
  </sheetViews>
  <sheetFormatPr defaultRowHeight="18" x14ac:dyDescent="0.45"/>
  <cols>
    <col min="2" max="2" width="26.5" style="1" customWidth="1"/>
    <col min="3" max="3" width="17.59765625" style="1" bestFit="1" customWidth="1"/>
    <col min="4" max="4" width="15.09765625" style="1" customWidth="1"/>
    <col min="5" max="5" width="56.5" style="1" bestFit="1" customWidth="1"/>
    <col min="6" max="6" width="10.59765625" style="1" customWidth="1"/>
    <col min="7" max="7" width="14.5" style="1" customWidth="1"/>
    <col min="8" max="8" width="36.59765625" style="1" bestFit="1" customWidth="1"/>
  </cols>
  <sheetData>
    <row r="1" spans="1:8" x14ac:dyDescent="0.45">
      <c r="A1" t="s">
        <v>17</v>
      </c>
      <c r="B1" t="s">
        <v>169</v>
      </c>
      <c r="C1" t="s">
        <v>170</v>
      </c>
      <c r="D1" t="s">
        <v>171</v>
      </c>
      <c r="E1" t="s">
        <v>4</v>
      </c>
      <c r="F1" t="s">
        <v>111</v>
      </c>
      <c r="G1" t="s">
        <v>172</v>
      </c>
      <c r="H1"/>
    </row>
    <row r="2" spans="1:8" x14ac:dyDescent="0.45">
      <c r="A2">
        <v>1</v>
      </c>
      <c r="B2" t="s">
        <v>70</v>
      </c>
      <c r="C2" t="s">
        <v>173</v>
      </c>
      <c r="D2" t="s">
        <v>174</v>
      </c>
      <c r="E2" t="s">
        <v>175</v>
      </c>
      <c r="F2" t="b">
        <v>1</v>
      </c>
      <c r="G2" t="s">
        <v>176</v>
      </c>
      <c r="H2"/>
    </row>
    <row r="3" spans="1:8" x14ac:dyDescent="0.45">
      <c r="A3">
        <v>2</v>
      </c>
      <c r="B3" t="s">
        <v>129</v>
      </c>
      <c r="C3" t="s">
        <v>177</v>
      </c>
      <c r="D3" t="s">
        <v>178</v>
      </c>
      <c r="E3" t="s">
        <v>179</v>
      </c>
      <c r="F3" t="b">
        <v>1</v>
      </c>
      <c r="G3" t="s">
        <v>180</v>
      </c>
      <c r="H3"/>
    </row>
    <row r="4" spans="1:8" x14ac:dyDescent="0.45">
      <c r="A4">
        <v>3</v>
      </c>
      <c r="B4" t="s">
        <v>181</v>
      </c>
      <c r="C4" t="s">
        <v>182</v>
      </c>
      <c r="D4" t="s">
        <v>183</v>
      </c>
      <c r="E4" t="s">
        <v>184</v>
      </c>
      <c r="F4" t="b">
        <v>1</v>
      </c>
      <c r="G4" t="s">
        <v>185</v>
      </c>
      <c r="H4"/>
    </row>
    <row r="5" spans="1:8" x14ac:dyDescent="0.45">
      <c r="A5">
        <v>4</v>
      </c>
      <c r="B5" t="s">
        <v>186</v>
      </c>
      <c r="C5" t="s">
        <v>187</v>
      </c>
      <c r="D5" t="s">
        <v>188</v>
      </c>
      <c r="E5" t="s">
        <v>189</v>
      </c>
      <c r="F5" t="b">
        <v>1</v>
      </c>
      <c r="G5" t="s">
        <v>190</v>
      </c>
      <c r="H5"/>
    </row>
    <row r="6" spans="1:8" x14ac:dyDescent="0.45">
      <c r="A6">
        <v>5</v>
      </c>
      <c r="B6" t="s">
        <v>191</v>
      </c>
      <c r="C6" t="s">
        <v>192</v>
      </c>
      <c r="D6" t="s">
        <v>193</v>
      </c>
      <c r="E6" t="s">
        <v>194</v>
      </c>
      <c r="F6" t="b">
        <v>1</v>
      </c>
      <c r="G6" t="s">
        <v>195</v>
      </c>
      <c r="H6"/>
    </row>
    <row r="7" spans="1:8" x14ac:dyDescent="0.45">
      <c r="A7">
        <v>6</v>
      </c>
      <c r="B7" t="s">
        <v>196</v>
      </c>
      <c r="C7" t="s">
        <v>197</v>
      </c>
      <c r="D7" t="s">
        <v>198</v>
      </c>
      <c r="E7" t="s">
        <v>199</v>
      </c>
      <c r="F7" t="b">
        <v>1</v>
      </c>
      <c r="G7" t="s">
        <v>200</v>
      </c>
      <c r="H7"/>
    </row>
    <row r="8" spans="1:8" x14ac:dyDescent="0.45">
      <c r="A8">
        <v>7</v>
      </c>
      <c r="B8" t="s">
        <v>201</v>
      </c>
      <c r="C8" t="s">
        <v>202</v>
      </c>
      <c r="D8" t="s">
        <v>203</v>
      </c>
      <c r="E8" t="s">
        <v>204</v>
      </c>
      <c r="F8" t="b">
        <v>1</v>
      </c>
      <c r="G8" t="s">
        <v>200</v>
      </c>
      <c r="H8"/>
    </row>
    <row r="9" spans="1:8" x14ac:dyDescent="0.45">
      <c r="A9">
        <v>8</v>
      </c>
      <c r="B9" t="s">
        <v>205</v>
      </c>
      <c r="C9" t="s">
        <v>206</v>
      </c>
      <c r="D9" t="s">
        <v>207</v>
      </c>
      <c r="E9" t="s">
        <v>208</v>
      </c>
      <c r="F9" t="b">
        <v>1</v>
      </c>
      <c r="G9" t="s">
        <v>209</v>
      </c>
      <c r="H9"/>
    </row>
    <row r="10" spans="1:8" x14ac:dyDescent="0.45">
      <c r="A10">
        <v>9</v>
      </c>
      <c r="B10" t="s">
        <v>195</v>
      </c>
      <c r="C10" t="s">
        <v>210</v>
      </c>
      <c r="D10" t="s">
        <v>211</v>
      </c>
      <c r="E10" t="s">
        <v>212</v>
      </c>
      <c r="F10" t="b">
        <v>1</v>
      </c>
      <c r="G10" t="s">
        <v>195</v>
      </c>
      <c r="H10"/>
    </row>
    <row r="11" spans="1:8" x14ac:dyDescent="0.45">
      <c r="A11">
        <v>10</v>
      </c>
      <c r="H11"/>
    </row>
    <row r="12" spans="1:8" x14ac:dyDescent="0.45">
      <c r="A12">
        <v>11</v>
      </c>
      <c r="H12"/>
    </row>
    <row r="13" spans="1:8" x14ac:dyDescent="0.45">
      <c r="A13">
        <v>12</v>
      </c>
      <c r="H13"/>
    </row>
    <row r="14" spans="1:8" x14ac:dyDescent="0.45">
      <c r="A14">
        <v>13</v>
      </c>
      <c r="H14"/>
    </row>
    <row r="15" spans="1:8" x14ac:dyDescent="0.45">
      <c r="A15">
        <v>14</v>
      </c>
      <c r="H15"/>
    </row>
    <row r="16" spans="1:8" x14ac:dyDescent="0.45">
      <c r="A16">
        <v>15</v>
      </c>
      <c r="H16"/>
    </row>
    <row r="17" spans="1:8" x14ac:dyDescent="0.45">
      <c r="A17">
        <v>16</v>
      </c>
      <c r="H17"/>
    </row>
    <row r="18" spans="1:8" x14ac:dyDescent="0.45">
      <c r="A18">
        <v>17</v>
      </c>
      <c r="H18"/>
    </row>
    <row r="19" spans="1:8" x14ac:dyDescent="0.45">
      <c r="A19">
        <v>18</v>
      </c>
      <c r="H19"/>
    </row>
    <row r="20" spans="1:8" x14ac:dyDescent="0.45">
      <c r="A20">
        <v>19</v>
      </c>
      <c r="H20"/>
    </row>
    <row r="21" spans="1:8" x14ac:dyDescent="0.45">
      <c r="A21">
        <v>20</v>
      </c>
      <c r="H21"/>
    </row>
    <row r="22" spans="1:8" x14ac:dyDescent="0.45">
      <c r="A22">
        <v>21</v>
      </c>
      <c r="H22"/>
    </row>
    <row r="23" spans="1:8" x14ac:dyDescent="0.45">
      <c r="A23">
        <v>22</v>
      </c>
      <c r="H23"/>
    </row>
    <row r="24" spans="1:8" x14ac:dyDescent="0.45">
      <c r="A24">
        <v>23</v>
      </c>
      <c r="H24"/>
    </row>
    <row r="25" spans="1:8" x14ac:dyDescent="0.45">
      <c r="A25">
        <v>24</v>
      </c>
      <c r="H25"/>
    </row>
    <row r="26" spans="1:8" x14ac:dyDescent="0.45">
      <c r="A26">
        <v>25</v>
      </c>
      <c r="H2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H16"/>
  <sheetViews>
    <sheetView workbookViewId="0">
      <selection activeCell="B8" sqref="B8"/>
    </sheetView>
  </sheetViews>
  <sheetFormatPr defaultRowHeight="18" x14ac:dyDescent="0.45"/>
  <cols>
    <col min="2" max="2" width="14.796875" style="1" bestFit="1" customWidth="1"/>
    <col min="3" max="3" width="16.296875" style="1" bestFit="1" customWidth="1"/>
    <col min="4" max="4" width="19.796875" style="1" bestFit="1" customWidth="1"/>
    <col min="5" max="5" width="65.3984375" style="1" bestFit="1" customWidth="1"/>
    <col min="6" max="6" width="23.5" style="1" bestFit="1" customWidth="1"/>
    <col min="7" max="7" width="20.296875" style="1" bestFit="1" customWidth="1"/>
    <col min="8" max="8" width="31.796875" style="1" bestFit="1" customWidth="1"/>
  </cols>
  <sheetData>
    <row r="1" spans="1:8" x14ac:dyDescent="0.45">
      <c r="A1" t="s">
        <v>17</v>
      </c>
      <c r="B1" t="s">
        <v>2</v>
      </c>
      <c r="C1" t="s">
        <v>213</v>
      </c>
      <c r="D1" t="s">
        <v>214</v>
      </c>
      <c r="E1" t="s">
        <v>4</v>
      </c>
      <c r="F1" t="s">
        <v>215</v>
      </c>
      <c r="G1" t="s">
        <v>216</v>
      </c>
      <c r="H1" t="s">
        <v>20</v>
      </c>
    </row>
    <row r="2" spans="1:8" x14ac:dyDescent="0.45">
      <c r="A2">
        <v>1</v>
      </c>
      <c r="B2" t="s">
        <v>29</v>
      </c>
      <c r="C2" t="s">
        <v>217</v>
      </c>
      <c r="D2" t="s">
        <v>218</v>
      </c>
      <c r="E2" t="s">
        <v>219</v>
      </c>
      <c r="F2" t="s">
        <v>220</v>
      </c>
      <c r="G2" t="s">
        <v>221</v>
      </c>
      <c r="H2" t="s">
        <v>222</v>
      </c>
    </row>
    <row r="3" spans="1:8" x14ac:dyDescent="0.45">
      <c r="A3">
        <v>2</v>
      </c>
      <c r="B3" t="s">
        <v>3</v>
      </c>
      <c r="C3" t="s">
        <v>223</v>
      </c>
      <c r="D3" t="s">
        <v>224</v>
      </c>
      <c r="E3" t="s">
        <v>225</v>
      </c>
      <c r="F3" t="s">
        <v>226</v>
      </c>
      <c r="G3" t="s">
        <v>227</v>
      </c>
      <c r="H3" t="s">
        <v>228</v>
      </c>
    </row>
    <row r="4" spans="1:8" x14ac:dyDescent="0.45">
      <c r="A4">
        <v>3</v>
      </c>
      <c r="B4" t="s">
        <v>229</v>
      </c>
      <c r="C4" t="s">
        <v>230</v>
      </c>
      <c r="D4" t="s">
        <v>231</v>
      </c>
      <c r="E4" t="s">
        <v>232</v>
      </c>
      <c r="F4" t="s">
        <v>233</v>
      </c>
      <c r="G4" t="s">
        <v>234</v>
      </c>
      <c r="H4" t="s">
        <v>235</v>
      </c>
    </row>
    <row r="5" spans="1:8" x14ac:dyDescent="0.45">
      <c r="A5">
        <v>4</v>
      </c>
      <c r="B5" t="s">
        <v>46</v>
      </c>
      <c r="C5" t="s">
        <v>236</v>
      </c>
      <c r="D5" t="s">
        <v>237</v>
      </c>
      <c r="E5" t="s">
        <v>238</v>
      </c>
      <c r="F5" t="s">
        <v>239</v>
      </c>
      <c r="G5" t="s">
        <v>240</v>
      </c>
      <c r="H5" t="s">
        <v>241</v>
      </c>
    </row>
    <row r="6" spans="1:8" x14ac:dyDescent="0.45">
      <c r="A6">
        <v>5</v>
      </c>
      <c r="B6" t="s">
        <v>242</v>
      </c>
      <c r="C6" t="s">
        <v>243</v>
      </c>
      <c r="D6" t="s">
        <v>244</v>
      </c>
      <c r="E6" t="s">
        <v>245</v>
      </c>
      <c r="F6" t="s">
        <v>220</v>
      </c>
      <c r="G6" t="s">
        <v>240</v>
      </c>
      <c r="H6" t="s">
        <v>246</v>
      </c>
    </row>
    <row r="7" spans="1:8" x14ac:dyDescent="0.45">
      <c r="A7">
        <v>6</v>
      </c>
      <c r="B7" t="s">
        <v>14</v>
      </c>
      <c r="C7" t="s">
        <v>247</v>
      </c>
      <c r="D7" t="s">
        <v>248</v>
      </c>
      <c r="E7" t="s">
        <v>249</v>
      </c>
      <c r="F7" t="s">
        <v>250</v>
      </c>
      <c r="G7" t="s">
        <v>240</v>
      </c>
      <c r="H7" t="s">
        <v>251</v>
      </c>
    </row>
    <row r="8" spans="1:8" x14ac:dyDescent="0.45">
      <c r="A8">
        <v>7</v>
      </c>
      <c r="B8" t="s">
        <v>252</v>
      </c>
      <c r="C8" t="s">
        <v>253</v>
      </c>
      <c r="D8" t="s">
        <v>254</v>
      </c>
      <c r="E8" t="s">
        <v>255</v>
      </c>
      <c r="F8" t="s">
        <v>256</v>
      </c>
      <c r="G8" t="s">
        <v>257</v>
      </c>
      <c r="H8" t="s">
        <v>258</v>
      </c>
    </row>
    <row r="9" spans="1:8" x14ac:dyDescent="0.45">
      <c r="A9">
        <v>8</v>
      </c>
      <c r="B9" t="s">
        <v>259</v>
      </c>
      <c r="C9" t="s">
        <v>260</v>
      </c>
      <c r="D9" t="s">
        <v>261</v>
      </c>
      <c r="E9" t="s">
        <v>262</v>
      </c>
      <c r="F9" t="s">
        <v>263</v>
      </c>
      <c r="G9" t="s">
        <v>264</v>
      </c>
      <c r="H9" t="s">
        <v>265</v>
      </c>
    </row>
    <row r="10" spans="1:8" x14ac:dyDescent="0.45">
      <c r="A10">
        <v>9</v>
      </c>
      <c r="B10"/>
      <c r="C10"/>
      <c r="D10"/>
      <c r="E10"/>
      <c r="F10"/>
      <c r="G10"/>
      <c r="H10"/>
    </row>
    <row r="11" spans="1:8" x14ac:dyDescent="0.45">
      <c r="A11">
        <v>10</v>
      </c>
      <c r="B11"/>
      <c r="C11"/>
      <c r="D11"/>
      <c r="E11"/>
      <c r="F11"/>
      <c r="G11"/>
      <c r="H11"/>
    </row>
    <row r="12" spans="1:8" x14ac:dyDescent="0.45">
      <c r="A12">
        <v>11</v>
      </c>
      <c r="B12"/>
      <c r="C12"/>
      <c r="D12"/>
      <c r="E12"/>
      <c r="F12"/>
      <c r="G12"/>
      <c r="H12"/>
    </row>
    <row r="13" spans="1:8" x14ac:dyDescent="0.45">
      <c r="A13">
        <v>12</v>
      </c>
      <c r="B13"/>
      <c r="C13"/>
      <c r="D13"/>
      <c r="E13"/>
      <c r="F13"/>
      <c r="G13"/>
      <c r="H13"/>
    </row>
    <row r="14" spans="1:8" x14ac:dyDescent="0.45">
      <c r="A14">
        <v>13</v>
      </c>
      <c r="B14"/>
      <c r="C14"/>
      <c r="D14"/>
      <c r="E14"/>
      <c r="F14"/>
      <c r="G14"/>
      <c r="H14"/>
    </row>
    <row r="15" spans="1:8" x14ac:dyDescent="0.45">
      <c r="A15">
        <v>14</v>
      </c>
      <c r="B15"/>
      <c r="C15"/>
      <c r="D15"/>
      <c r="E15"/>
      <c r="F15"/>
      <c r="G15"/>
      <c r="H15"/>
    </row>
    <row r="16" spans="1:8" x14ac:dyDescent="0.45">
      <c r="A16">
        <v>15</v>
      </c>
      <c r="B16"/>
      <c r="C16"/>
      <c r="D16"/>
      <c r="E16"/>
      <c r="F16"/>
      <c r="G16"/>
      <c r="H16"/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5"/>
  <dimension ref="A1:G21"/>
  <sheetViews>
    <sheetView workbookViewId="0">
      <selection activeCell="K14" sqref="K14"/>
    </sheetView>
  </sheetViews>
  <sheetFormatPr defaultRowHeight="18" x14ac:dyDescent="0.45"/>
  <cols>
    <col min="1" max="1" width="19.19921875" style="1" bestFit="1" customWidth="1"/>
    <col min="2" max="2" width="12.5" style="1" customWidth="1"/>
    <col min="3" max="3" width="11.69921875" style="1" customWidth="1"/>
    <col min="4" max="4" width="30.19921875" style="1" bestFit="1" customWidth="1"/>
    <col min="5" max="5" width="29.69921875" style="1" bestFit="1" customWidth="1"/>
    <col min="6" max="6" width="13.3984375" style="1" customWidth="1"/>
    <col min="7" max="7" width="10.296875" style="1" customWidth="1"/>
  </cols>
  <sheetData>
    <row r="1" spans="1:7" x14ac:dyDescent="0.45">
      <c r="A1" t="s">
        <v>17</v>
      </c>
      <c r="B1" t="s">
        <v>57</v>
      </c>
      <c r="C1" t="s">
        <v>107</v>
      </c>
      <c r="D1" t="s">
        <v>266</v>
      </c>
      <c r="E1" t="s">
        <v>267</v>
      </c>
      <c r="F1" t="s">
        <v>268</v>
      </c>
      <c r="G1" t="s">
        <v>111</v>
      </c>
    </row>
    <row r="2" spans="1:7" x14ac:dyDescent="0.45">
      <c r="A2">
        <v>1</v>
      </c>
      <c r="B2">
        <v>1</v>
      </c>
      <c r="C2">
        <v>10</v>
      </c>
      <c r="D2" t="s">
        <v>269</v>
      </c>
      <c r="E2" t="s">
        <v>270</v>
      </c>
      <c r="F2" t="s">
        <v>271</v>
      </c>
      <c r="G2" t="b">
        <v>1</v>
      </c>
    </row>
    <row r="3" spans="1:7" x14ac:dyDescent="0.45">
      <c r="A3">
        <v>2</v>
      </c>
      <c r="B3">
        <v>2</v>
      </c>
      <c r="C3">
        <v>20</v>
      </c>
      <c r="D3" t="s">
        <v>272</v>
      </c>
      <c r="E3" t="s">
        <v>273</v>
      </c>
      <c r="F3" t="s">
        <v>274</v>
      </c>
      <c r="G3" t="b">
        <v>1</v>
      </c>
    </row>
    <row r="4" spans="1:7" x14ac:dyDescent="0.45">
      <c r="A4">
        <v>3</v>
      </c>
      <c r="B4">
        <v>3</v>
      </c>
      <c r="C4">
        <v>30</v>
      </c>
      <c r="D4" t="s">
        <v>275</v>
      </c>
      <c r="E4" t="s">
        <v>276</v>
      </c>
      <c r="F4" t="s">
        <v>277</v>
      </c>
      <c r="G4" t="b">
        <v>1</v>
      </c>
    </row>
    <row r="5" spans="1:7" x14ac:dyDescent="0.45">
      <c r="A5">
        <v>4</v>
      </c>
      <c r="B5">
        <v>5</v>
      </c>
      <c r="C5">
        <v>40</v>
      </c>
      <c r="D5" t="s">
        <v>278</v>
      </c>
      <c r="E5" t="s">
        <v>279</v>
      </c>
      <c r="F5" t="s">
        <v>280</v>
      </c>
      <c r="G5" t="b">
        <v>1</v>
      </c>
    </row>
    <row r="6" spans="1:7" x14ac:dyDescent="0.45">
      <c r="A6">
        <v>5</v>
      </c>
      <c r="B6">
        <v>8</v>
      </c>
      <c r="C6">
        <v>50</v>
      </c>
      <c r="D6" t="s">
        <v>281</v>
      </c>
      <c r="E6" t="s">
        <v>282</v>
      </c>
      <c r="F6" t="s">
        <v>283</v>
      </c>
      <c r="G6" t="b">
        <v>1</v>
      </c>
    </row>
    <row r="7" spans="1:7" x14ac:dyDescent="0.45">
      <c r="A7">
        <v>6</v>
      </c>
      <c r="B7">
        <v>13</v>
      </c>
      <c r="C7">
        <v>60</v>
      </c>
      <c r="D7" t="s">
        <v>284</v>
      </c>
      <c r="E7" t="s">
        <v>285</v>
      </c>
      <c r="F7" t="s">
        <v>286</v>
      </c>
      <c r="G7" t="b">
        <v>1</v>
      </c>
    </row>
    <row r="8" spans="1:7" x14ac:dyDescent="0.45">
      <c r="A8">
        <v>7</v>
      </c>
      <c r="B8">
        <v>21</v>
      </c>
      <c r="C8">
        <v>70</v>
      </c>
      <c r="D8" t="s">
        <v>287</v>
      </c>
      <c r="E8" t="s">
        <v>288</v>
      </c>
      <c r="F8" t="s">
        <v>289</v>
      </c>
      <c r="G8" t="b">
        <v>1</v>
      </c>
    </row>
    <row r="9" spans="1:7" x14ac:dyDescent="0.45">
      <c r="A9">
        <v>8</v>
      </c>
    </row>
    <row r="10" spans="1:7" x14ac:dyDescent="0.45">
      <c r="A10">
        <v>9</v>
      </c>
    </row>
    <row r="11" spans="1:7" x14ac:dyDescent="0.45">
      <c r="A11">
        <v>10</v>
      </c>
    </row>
    <row r="12" spans="1:7" x14ac:dyDescent="0.45">
      <c r="A12">
        <v>11</v>
      </c>
    </row>
    <row r="13" spans="1:7" x14ac:dyDescent="0.45">
      <c r="A13">
        <v>12</v>
      </c>
    </row>
    <row r="14" spans="1:7" x14ac:dyDescent="0.45">
      <c r="A14">
        <v>13</v>
      </c>
    </row>
    <row r="15" spans="1:7" x14ac:dyDescent="0.45">
      <c r="A15">
        <v>14</v>
      </c>
    </row>
    <row r="16" spans="1:7" x14ac:dyDescent="0.45">
      <c r="A16">
        <v>15</v>
      </c>
    </row>
    <row r="17" spans="1:1" x14ac:dyDescent="0.45">
      <c r="A17">
        <v>16</v>
      </c>
    </row>
    <row r="18" spans="1:1" x14ac:dyDescent="0.45">
      <c r="A18">
        <v>17</v>
      </c>
    </row>
    <row r="19" spans="1:1" x14ac:dyDescent="0.45">
      <c r="A19">
        <v>18</v>
      </c>
    </row>
    <row r="20" spans="1:1" x14ac:dyDescent="0.45">
      <c r="A20">
        <v>19</v>
      </c>
    </row>
    <row r="21" spans="1:1" x14ac:dyDescent="0.45">
      <c r="A21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6"/>
  <dimension ref="A1:B36"/>
  <sheetViews>
    <sheetView workbookViewId="0">
      <selection activeCell="B3" sqref="B3"/>
    </sheetView>
  </sheetViews>
  <sheetFormatPr defaultRowHeight="18" x14ac:dyDescent="0.45"/>
  <cols>
    <col min="1" max="1" width="31.69921875" style="1" bestFit="1" customWidth="1"/>
    <col min="2" max="2" width="17.19921875" style="1" bestFit="1" customWidth="1"/>
  </cols>
  <sheetData>
    <row r="1" spans="1:2" x14ac:dyDescent="0.45">
      <c r="A1" t="s">
        <v>45</v>
      </c>
    </row>
    <row r="2" spans="1:2" x14ac:dyDescent="0.45">
      <c r="A2" t="s">
        <v>290</v>
      </c>
      <c r="B2" t="s">
        <v>291</v>
      </c>
    </row>
    <row r="3" spans="1:2" x14ac:dyDescent="0.45">
      <c r="A3" t="s">
        <v>9</v>
      </c>
      <c r="B3" t="s">
        <v>29</v>
      </c>
    </row>
    <row r="4" spans="1:2" x14ac:dyDescent="0.45">
      <c r="A4" t="s">
        <v>10</v>
      </c>
      <c r="B4" t="s">
        <v>292</v>
      </c>
    </row>
    <row r="5" spans="1:2" x14ac:dyDescent="0.45">
      <c r="A5" t="s">
        <v>2</v>
      </c>
      <c r="B5" t="s">
        <v>40</v>
      </c>
    </row>
    <row r="6" spans="1:2" x14ac:dyDescent="0.45">
      <c r="A6" t="s">
        <v>4</v>
      </c>
      <c r="B6" t="s">
        <v>4</v>
      </c>
    </row>
    <row r="7" spans="1:2" x14ac:dyDescent="0.45">
      <c r="A7" t="s">
        <v>74</v>
      </c>
      <c r="B7" t="s">
        <v>74</v>
      </c>
    </row>
    <row r="8" spans="1:2" x14ac:dyDescent="0.45">
      <c r="A8" t="s">
        <v>75</v>
      </c>
      <c r="B8" t="s">
        <v>75</v>
      </c>
    </row>
    <row r="9" spans="1:2" x14ac:dyDescent="0.45">
      <c r="A9" t="s">
        <v>76</v>
      </c>
      <c r="B9" t="s">
        <v>76</v>
      </c>
    </row>
    <row r="10" spans="1:2" x14ac:dyDescent="0.45">
      <c r="A10" t="s">
        <v>77</v>
      </c>
      <c r="B10" t="s">
        <v>77</v>
      </c>
    </row>
    <row r="11" spans="1:2" x14ac:dyDescent="0.45">
      <c r="A11" t="s">
        <v>11</v>
      </c>
      <c r="B11" t="s">
        <v>11</v>
      </c>
    </row>
    <row r="12" spans="1:2" x14ac:dyDescent="0.45">
      <c r="A12" t="s">
        <v>59</v>
      </c>
      <c r="B12" t="s">
        <v>59</v>
      </c>
    </row>
    <row r="13" spans="1:2" x14ac:dyDescent="0.45">
      <c r="A13" t="s">
        <v>60</v>
      </c>
      <c r="B13" t="s">
        <v>60</v>
      </c>
    </row>
    <row r="14" spans="1:2" x14ac:dyDescent="0.45">
      <c r="A14" t="s">
        <v>78</v>
      </c>
      <c r="B14" t="s">
        <v>293</v>
      </c>
    </row>
    <row r="15" spans="1:2" x14ac:dyDescent="0.45">
      <c r="A15" t="s">
        <v>61</v>
      </c>
      <c r="B15" t="s">
        <v>294</v>
      </c>
    </row>
    <row r="16" spans="1:2" x14ac:dyDescent="0.45">
      <c r="A16" t="s">
        <v>79</v>
      </c>
      <c r="B16" t="s">
        <v>295</v>
      </c>
    </row>
    <row r="17" spans="1:2" x14ac:dyDescent="0.45">
      <c r="A17" t="s">
        <v>62</v>
      </c>
      <c r="B17" t="s">
        <v>293</v>
      </c>
    </row>
    <row r="19" spans="1:2" x14ac:dyDescent="0.45">
      <c r="A19" t="s">
        <v>104</v>
      </c>
    </row>
    <row r="20" spans="1:2" x14ac:dyDescent="0.45">
      <c r="A20" t="s">
        <v>290</v>
      </c>
      <c r="B20" t="s">
        <v>291</v>
      </c>
    </row>
    <row r="21" spans="1:2" x14ac:dyDescent="0.45">
      <c r="A21" t="s">
        <v>17</v>
      </c>
      <c r="B21" t="s">
        <v>17</v>
      </c>
    </row>
    <row r="22" spans="1:2" x14ac:dyDescent="0.45">
      <c r="A22" t="s">
        <v>52</v>
      </c>
      <c r="B22" t="s">
        <v>52</v>
      </c>
    </row>
    <row r="23" spans="1:2" x14ac:dyDescent="0.45">
      <c r="A23" t="s">
        <v>63</v>
      </c>
      <c r="B23" t="s">
        <v>63</v>
      </c>
    </row>
    <row r="24" spans="1:2" x14ac:dyDescent="0.45">
      <c r="A24" t="s">
        <v>64</v>
      </c>
      <c r="B24" t="s">
        <v>64</v>
      </c>
    </row>
    <row r="25" spans="1:2" x14ac:dyDescent="0.45">
      <c r="A25" t="s">
        <v>53</v>
      </c>
      <c r="B25" t="s">
        <v>53</v>
      </c>
    </row>
    <row r="26" spans="1:2" x14ac:dyDescent="0.45">
      <c r="A26" t="s">
        <v>4</v>
      </c>
      <c r="B26" t="s">
        <v>4</v>
      </c>
    </row>
    <row r="27" spans="1:2" x14ac:dyDescent="0.45">
      <c r="A27" t="s">
        <v>11</v>
      </c>
      <c r="B27" t="s">
        <v>11</v>
      </c>
    </row>
    <row r="28" spans="1:2" x14ac:dyDescent="0.45">
      <c r="A28" t="s">
        <v>54</v>
      </c>
      <c r="B28" t="s">
        <v>54</v>
      </c>
    </row>
    <row r="29" spans="1:2" x14ac:dyDescent="0.45">
      <c r="A29" t="s">
        <v>55</v>
      </c>
      <c r="B29" t="s">
        <v>296</v>
      </c>
    </row>
    <row r="30" spans="1:2" x14ac:dyDescent="0.45">
      <c r="A30" t="s">
        <v>56</v>
      </c>
      <c r="B30" t="s">
        <v>106</v>
      </c>
    </row>
    <row r="31" spans="1:2" x14ac:dyDescent="0.45">
      <c r="A31" t="s">
        <v>57</v>
      </c>
      <c r="B31" t="s">
        <v>297</v>
      </c>
    </row>
    <row r="32" spans="1:2" x14ac:dyDescent="0.45">
      <c r="A32" t="s">
        <v>58</v>
      </c>
      <c r="B32" t="s">
        <v>58</v>
      </c>
    </row>
    <row r="33" spans="1:2" x14ac:dyDescent="0.45">
      <c r="A33" t="s">
        <v>59</v>
      </c>
      <c r="B33" t="s">
        <v>59</v>
      </c>
    </row>
    <row r="34" spans="1:2" x14ac:dyDescent="0.45">
      <c r="A34" t="s">
        <v>60</v>
      </c>
      <c r="B34" t="s">
        <v>60</v>
      </c>
    </row>
    <row r="35" spans="1:2" x14ac:dyDescent="0.45">
      <c r="A35" t="s">
        <v>61</v>
      </c>
      <c r="B35" t="s">
        <v>61</v>
      </c>
    </row>
    <row r="36" spans="1:2" x14ac:dyDescent="0.45">
      <c r="A36" t="s">
        <v>62</v>
      </c>
      <c r="B36" t="s">
        <v>62</v>
      </c>
    </row>
  </sheetData>
  <phoneticPr fontId="3"/>
  <pageMargins left="0.7" right="0.7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3"/>
  <dimension ref="A1:J11"/>
  <sheetViews>
    <sheetView workbookViewId="0">
      <selection activeCell="D19" sqref="D19"/>
    </sheetView>
  </sheetViews>
  <sheetFormatPr defaultRowHeight="18" x14ac:dyDescent="0.45"/>
  <cols>
    <col min="1" max="1" width="8.3984375" style="1" customWidth="1"/>
    <col min="2" max="2" width="22.19921875" style="1" bestFit="1" customWidth="1"/>
    <col min="3" max="3" width="12.3984375" style="1" customWidth="1"/>
    <col min="4" max="4" width="13.8984375" style="1" customWidth="1"/>
    <col min="5" max="5" width="13.796875" style="1" bestFit="1" customWidth="1"/>
    <col min="6" max="6" width="19.69921875" style="1" bestFit="1" customWidth="1"/>
    <col min="7" max="7" width="12.3984375" style="1" customWidth="1"/>
    <col min="8" max="8" width="14.796875" style="1" bestFit="1" customWidth="1"/>
    <col min="9" max="9" width="14" style="1" customWidth="1"/>
    <col min="10" max="10" width="39.69921875" style="1" bestFit="1" customWidth="1"/>
  </cols>
  <sheetData>
    <row r="1" spans="1:10" x14ac:dyDescent="0.45">
      <c r="A1" t="s">
        <v>298</v>
      </c>
      <c r="B1" t="s">
        <v>299</v>
      </c>
      <c r="C1" t="s">
        <v>300</v>
      </c>
      <c r="D1" t="s">
        <v>301</v>
      </c>
      <c r="E1" t="s">
        <v>302</v>
      </c>
      <c r="F1" t="s">
        <v>303</v>
      </c>
      <c r="G1" t="s">
        <v>304</v>
      </c>
      <c r="H1" t="s">
        <v>305</v>
      </c>
      <c r="I1" t="s">
        <v>306</v>
      </c>
      <c r="J1" t="s">
        <v>4</v>
      </c>
    </row>
    <row r="2" spans="1:10" x14ac:dyDescent="0.45">
      <c r="A2" t="s">
        <v>307</v>
      </c>
      <c r="B2" t="s">
        <v>308</v>
      </c>
      <c r="C2" t="b">
        <v>1</v>
      </c>
      <c r="D2" t="s">
        <v>309</v>
      </c>
      <c r="E2" t="s">
        <v>310</v>
      </c>
      <c r="G2" t="s">
        <v>133</v>
      </c>
      <c r="H2" t="s">
        <v>29</v>
      </c>
      <c r="I2" t="b">
        <v>1</v>
      </c>
      <c r="J2" t="s">
        <v>311</v>
      </c>
    </row>
    <row r="3" spans="1:10" x14ac:dyDescent="0.45">
      <c r="A3" t="s">
        <v>312</v>
      </c>
      <c r="B3" t="s">
        <v>313</v>
      </c>
      <c r="C3" t="b">
        <v>1</v>
      </c>
      <c r="D3" t="s">
        <v>309</v>
      </c>
      <c r="E3" t="s">
        <v>310</v>
      </c>
      <c r="G3" t="s">
        <v>314</v>
      </c>
      <c r="H3" t="s">
        <v>29</v>
      </c>
      <c r="I3" t="b">
        <v>1</v>
      </c>
      <c r="J3" t="s">
        <v>315</v>
      </c>
    </row>
    <row r="4" spans="1:10" x14ac:dyDescent="0.45">
      <c r="A4" t="s">
        <v>316</v>
      </c>
      <c r="B4" t="s">
        <v>317</v>
      </c>
      <c r="C4" t="b">
        <v>1</v>
      </c>
      <c r="D4" t="s">
        <v>309</v>
      </c>
      <c r="E4" t="s">
        <v>318</v>
      </c>
      <c r="F4" t="s">
        <v>314</v>
      </c>
      <c r="G4" t="s">
        <v>162</v>
      </c>
      <c r="H4" t="s">
        <v>29</v>
      </c>
      <c r="I4" t="b">
        <v>1</v>
      </c>
      <c r="J4" t="s">
        <v>319</v>
      </c>
    </row>
    <row r="5" spans="1:10" x14ac:dyDescent="0.45">
      <c r="A5" t="s">
        <v>320</v>
      </c>
      <c r="B5" t="s">
        <v>321</v>
      </c>
      <c r="C5" t="b">
        <v>1</v>
      </c>
      <c r="D5" t="s">
        <v>309</v>
      </c>
      <c r="E5" t="s">
        <v>322</v>
      </c>
      <c r="F5" t="s">
        <v>60</v>
      </c>
      <c r="G5" t="s">
        <v>162</v>
      </c>
      <c r="H5" t="s">
        <v>29</v>
      </c>
      <c r="I5" t="b">
        <v>1</v>
      </c>
      <c r="J5" t="s">
        <v>323</v>
      </c>
    </row>
    <row r="6" spans="1:10" x14ac:dyDescent="0.45">
      <c r="A6" t="s">
        <v>324</v>
      </c>
      <c r="B6" t="s">
        <v>325</v>
      </c>
      <c r="C6" t="b">
        <v>1</v>
      </c>
      <c r="D6" t="s">
        <v>309</v>
      </c>
      <c r="E6" t="s">
        <v>318</v>
      </c>
      <c r="F6" t="s">
        <v>57</v>
      </c>
      <c r="G6" t="s">
        <v>162</v>
      </c>
      <c r="H6" t="s">
        <v>29</v>
      </c>
      <c r="I6" t="b">
        <v>1</v>
      </c>
      <c r="J6" t="s">
        <v>326</v>
      </c>
    </row>
    <row r="7" spans="1:10" x14ac:dyDescent="0.45">
      <c r="A7" t="s">
        <v>327</v>
      </c>
      <c r="B7" t="s">
        <v>328</v>
      </c>
      <c r="C7" t="b">
        <v>0</v>
      </c>
      <c r="D7" t="s">
        <v>309</v>
      </c>
      <c r="E7" t="s">
        <v>329</v>
      </c>
      <c r="F7" t="s">
        <v>330</v>
      </c>
      <c r="G7" t="s">
        <v>162</v>
      </c>
      <c r="H7" t="s">
        <v>29</v>
      </c>
      <c r="I7" t="b">
        <v>0</v>
      </c>
      <c r="J7" t="s">
        <v>331</v>
      </c>
    </row>
    <row r="8" spans="1:10" x14ac:dyDescent="0.45">
      <c r="A8" t="s">
        <v>332</v>
      </c>
      <c r="B8" t="s">
        <v>333</v>
      </c>
      <c r="C8" t="b">
        <v>0</v>
      </c>
      <c r="D8" t="s">
        <v>309</v>
      </c>
      <c r="E8" t="s">
        <v>310</v>
      </c>
      <c r="F8" t="s">
        <v>334</v>
      </c>
      <c r="G8" t="s">
        <v>314</v>
      </c>
      <c r="H8" t="s">
        <v>29</v>
      </c>
      <c r="I8" t="b">
        <v>0</v>
      </c>
      <c r="J8" t="s">
        <v>335</v>
      </c>
    </row>
    <row r="9" spans="1:10" x14ac:dyDescent="0.45">
      <c r="A9" t="s">
        <v>336</v>
      </c>
      <c r="B9" t="s">
        <v>337</v>
      </c>
      <c r="C9" t="b">
        <v>0</v>
      </c>
      <c r="D9" t="s">
        <v>309</v>
      </c>
      <c r="E9" t="s">
        <v>338</v>
      </c>
      <c r="F9" t="s">
        <v>339</v>
      </c>
      <c r="G9" t="s">
        <v>340</v>
      </c>
      <c r="H9" t="s">
        <v>46</v>
      </c>
      <c r="I9" t="b">
        <v>1</v>
      </c>
      <c r="J9" t="s">
        <v>341</v>
      </c>
    </row>
    <row r="10" spans="1:10" x14ac:dyDescent="0.45">
      <c r="A10" t="s">
        <v>342</v>
      </c>
      <c r="B10" t="s">
        <v>105</v>
      </c>
      <c r="C10" t="b">
        <v>0</v>
      </c>
      <c r="D10" t="s">
        <v>343</v>
      </c>
      <c r="E10" t="s">
        <v>310</v>
      </c>
      <c r="F10" t="s">
        <v>344</v>
      </c>
      <c r="G10" t="s">
        <v>314</v>
      </c>
      <c r="H10" t="s">
        <v>3</v>
      </c>
      <c r="I10" t="b">
        <v>0</v>
      </c>
      <c r="J10" t="s">
        <v>345</v>
      </c>
    </row>
    <row r="11" spans="1:10" x14ac:dyDescent="0.45">
      <c r="A11" t="s">
        <v>346</v>
      </c>
      <c r="B11" t="s">
        <v>347</v>
      </c>
      <c r="C11" t="b">
        <v>1</v>
      </c>
      <c r="D11" t="s">
        <v>309</v>
      </c>
      <c r="E11" t="s">
        <v>348</v>
      </c>
      <c r="F11" t="s">
        <v>349</v>
      </c>
      <c r="G11" t="s">
        <v>350</v>
      </c>
      <c r="H11" t="s">
        <v>29</v>
      </c>
      <c r="I11" t="b">
        <v>1</v>
      </c>
      <c r="J11" t="s">
        <v>351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"/>
  <dimension ref="A1:F22"/>
  <sheetViews>
    <sheetView workbookViewId="0"/>
  </sheetViews>
  <sheetFormatPr defaultRowHeight="18" x14ac:dyDescent="0.45"/>
  <cols>
    <col min="2" max="2" width="15.796875" style="1" customWidth="1"/>
    <col min="3" max="3" width="12.19921875" style="1" customWidth="1"/>
    <col min="4" max="4" width="70.8984375" style="1" bestFit="1" customWidth="1"/>
    <col min="5" max="5" width="49.8984375" style="1" bestFit="1" customWidth="1"/>
    <col min="6" max="6" width="49.19921875" style="1" bestFit="1" customWidth="1"/>
  </cols>
  <sheetData>
    <row r="1" spans="1:6" x14ac:dyDescent="0.45">
      <c r="A1" t="s">
        <v>352</v>
      </c>
    </row>
    <row r="2" spans="1:6" x14ac:dyDescent="0.45">
      <c r="A2" t="s">
        <v>17</v>
      </c>
      <c r="B2" t="s">
        <v>55</v>
      </c>
      <c r="C2" t="s">
        <v>353</v>
      </c>
      <c r="D2" t="s">
        <v>354</v>
      </c>
      <c r="E2" t="s">
        <v>355</v>
      </c>
      <c r="F2" t="s">
        <v>356</v>
      </c>
    </row>
    <row r="3" spans="1:6" x14ac:dyDescent="0.45">
      <c r="A3">
        <v>1</v>
      </c>
      <c r="B3" t="s">
        <v>92</v>
      </c>
      <c r="C3">
        <v>10</v>
      </c>
      <c r="D3" t="s">
        <v>357</v>
      </c>
      <c r="E3" t="s">
        <v>358</v>
      </c>
      <c r="F3" t="s">
        <v>359</v>
      </c>
    </row>
    <row r="4" spans="1:6" x14ac:dyDescent="0.45">
      <c r="A4">
        <v>2</v>
      </c>
      <c r="B4" t="s">
        <v>93</v>
      </c>
      <c r="C4">
        <v>20</v>
      </c>
      <c r="D4" t="s">
        <v>360</v>
      </c>
      <c r="E4" t="s">
        <v>361</v>
      </c>
      <c r="F4" t="s">
        <v>362</v>
      </c>
    </row>
    <row r="5" spans="1:6" x14ac:dyDescent="0.45">
      <c r="A5">
        <v>3</v>
      </c>
      <c r="B5" t="s">
        <v>94</v>
      </c>
      <c r="C5">
        <v>30</v>
      </c>
      <c r="D5" t="s">
        <v>363</v>
      </c>
      <c r="E5" t="s">
        <v>364</v>
      </c>
      <c r="F5" t="s">
        <v>365</v>
      </c>
    </row>
    <row r="6" spans="1:6" x14ac:dyDescent="0.45">
      <c r="A6">
        <v>4</v>
      </c>
      <c r="B6" t="s">
        <v>95</v>
      </c>
      <c r="C6">
        <v>40</v>
      </c>
      <c r="D6" t="s">
        <v>366</v>
      </c>
      <c r="E6" t="s">
        <v>367</v>
      </c>
      <c r="F6" t="s">
        <v>368</v>
      </c>
    </row>
    <row r="7" spans="1:6" x14ac:dyDescent="0.45">
      <c r="A7">
        <v>5</v>
      </c>
      <c r="B7" t="s">
        <v>96</v>
      </c>
      <c r="C7">
        <v>50</v>
      </c>
      <c r="D7" t="s">
        <v>369</v>
      </c>
      <c r="E7" t="s">
        <v>370</v>
      </c>
      <c r="F7" t="s">
        <v>371</v>
      </c>
    </row>
    <row r="8" spans="1:6" x14ac:dyDescent="0.45">
      <c r="A8">
        <v>6</v>
      </c>
      <c r="B8" t="s">
        <v>97</v>
      </c>
      <c r="C8">
        <v>60</v>
      </c>
      <c r="D8" t="s">
        <v>372</v>
      </c>
      <c r="E8" t="s">
        <v>373</v>
      </c>
      <c r="F8" t="s">
        <v>374</v>
      </c>
    </row>
    <row r="9" spans="1:6" x14ac:dyDescent="0.45">
      <c r="A9">
        <v>7</v>
      </c>
      <c r="B9" t="s">
        <v>98</v>
      </c>
      <c r="C9">
        <v>70</v>
      </c>
      <c r="D9" t="s">
        <v>375</v>
      </c>
      <c r="E9" t="s">
        <v>376</v>
      </c>
      <c r="F9" t="s">
        <v>377</v>
      </c>
    </row>
    <row r="10" spans="1:6" x14ac:dyDescent="0.45">
      <c r="A10">
        <v>8</v>
      </c>
    </row>
    <row r="11" spans="1:6" x14ac:dyDescent="0.45">
      <c r="A11">
        <v>9</v>
      </c>
    </row>
    <row r="12" spans="1:6" x14ac:dyDescent="0.45">
      <c r="A12">
        <v>10</v>
      </c>
    </row>
    <row r="13" spans="1:6" x14ac:dyDescent="0.45">
      <c r="A13">
        <v>11</v>
      </c>
    </row>
    <row r="14" spans="1:6" x14ac:dyDescent="0.45">
      <c r="A14">
        <v>12</v>
      </c>
    </row>
    <row r="15" spans="1:6" x14ac:dyDescent="0.45">
      <c r="A15">
        <v>13</v>
      </c>
    </row>
    <row r="16" spans="1:6" x14ac:dyDescent="0.45">
      <c r="A16">
        <v>14</v>
      </c>
    </row>
    <row r="17" spans="1:1" x14ac:dyDescent="0.45">
      <c r="A17">
        <v>15</v>
      </c>
    </row>
    <row r="18" spans="1:1" x14ac:dyDescent="0.45">
      <c r="A18">
        <v>16</v>
      </c>
    </row>
    <row r="19" spans="1:1" x14ac:dyDescent="0.45">
      <c r="A19">
        <v>17</v>
      </c>
    </row>
    <row r="20" spans="1:1" x14ac:dyDescent="0.45">
      <c r="A20">
        <v>18</v>
      </c>
    </row>
    <row r="21" spans="1:1" x14ac:dyDescent="0.45">
      <c r="A21">
        <v>19</v>
      </c>
    </row>
    <row r="22" spans="1:1" x14ac:dyDescent="0.45">
      <c r="A22">
        <v>20</v>
      </c>
    </row>
  </sheetData>
  <phoneticPr fontId="3"/>
  <pageMargins left="0.7" right="0.7" top="0.75" bottom="0.75" header="0.3" footer="0.3"/>
  <pageSetup paperSize="9" orientation="portrait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42D8A-A64A-4A02-AAAA-47D327BCD521}">
  <sheetPr codeName="Sheet16"/>
  <dimension ref="A1:J109"/>
  <sheetViews>
    <sheetView tabSelected="1" workbookViewId="0">
      <selection activeCell="M3" sqref="M3"/>
    </sheetView>
  </sheetViews>
  <sheetFormatPr defaultRowHeight="18" x14ac:dyDescent="0.45"/>
  <cols>
    <col min="1" max="1" width="21" bestFit="1" customWidth="1"/>
    <col min="2" max="2" width="14.69921875" bestFit="1" customWidth="1"/>
    <col min="3" max="3" width="16" bestFit="1" customWidth="1"/>
    <col min="4" max="4" width="7.69921875" bestFit="1" customWidth="1"/>
    <col min="5" max="5" width="73" bestFit="1" customWidth="1"/>
    <col min="6" max="6" width="7.3984375" bestFit="1" customWidth="1"/>
    <col min="7" max="7" width="14" bestFit="1" customWidth="1"/>
    <col min="8" max="8" width="9.69921875" bestFit="1" customWidth="1"/>
    <col min="9" max="9" width="9.5" bestFit="1" customWidth="1"/>
    <col min="10" max="10" width="16.5" bestFit="1" customWidth="1"/>
  </cols>
  <sheetData>
    <row r="1" spans="1:10" x14ac:dyDescent="0.45">
      <c r="A1" t="s">
        <v>397</v>
      </c>
      <c r="B1" s="1"/>
      <c r="C1" s="1"/>
      <c r="D1" s="1"/>
      <c r="E1" s="1"/>
      <c r="F1" s="1"/>
      <c r="G1" s="1"/>
      <c r="H1" s="1"/>
      <c r="I1" s="1"/>
    </row>
    <row r="2" spans="1:10" x14ac:dyDescent="0.45">
      <c r="A2" t="s">
        <v>0</v>
      </c>
      <c r="B2" t="s">
        <v>1</v>
      </c>
      <c r="C2" s="1"/>
      <c r="D2" s="1"/>
      <c r="E2" s="1"/>
      <c r="F2" s="3"/>
      <c r="G2" s="3"/>
      <c r="H2" s="1"/>
      <c r="I2" s="1"/>
    </row>
    <row r="3" spans="1:10" x14ac:dyDescent="0.45">
      <c r="A3" t="s">
        <v>2</v>
      </c>
      <c r="B3" t="s">
        <v>242</v>
      </c>
      <c r="C3" s="1"/>
      <c r="D3" s="1"/>
      <c r="E3" s="1"/>
      <c r="F3" s="1"/>
      <c r="G3" s="1"/>
      <c r="H3" s="1"/>
      <c r="I3" s="1"/>
    </row>
    <row r="4" spans="1:10" x14ac:dyDescent="0.45">
      <c r="A4" t="s">
        <v>4</v>
      </c>
      <c r="B4" s="3" t="s">
        <v>398</v>
      </c>
      <c r="C4" s="1"/>
      <c r="D4" s="1"/>
      <c r="E4" s="1"/>
      <c r="F4" s="1"/>
      <c r="G4" s="1"/>
      <c r="H4" s="1"/>
      <c r="I4" s="1"/>
    </row>
    <row r="5" spans="1:10" x14ac:dyDescent="0.45">
      <c r="A5" s="1"/>
      <c r="B5" s="1"/>
      <c r="C5" s="1"/>
      <c r="D5" s="1"/>
      <c r="E5" s="1"/>
      <c r="F5" s="1"/>
      <c r="G5" s="1"/>
      <c r="H5" s="1"/>
      <c r="I5" s="1"/>
    </row>
    <row r="6" spans="1:10" x14ac:dyDescent="0.45">
      <c r="A6" s="1"/>
      <c r="B6" s="1"/>
      <c r="C6" s="1"/>
      <c r="D6" s="1"/>
      <c r="E6" s="1"/>
      <c r="F6" s="1"/>
      <c r="G6" s="1"/>
      <c r="H6" s="1"/>
      <c r="I6" s="1"/>
    </row>
    <row r="7" spans="1:10" x14ac:dyDescent="0.45">
      <c r="A7" s="1"/>
      <c r="B7" s="1"/>
      <c r="C7" s="1"/>
      <c r="D7" s="1"/>
      <c r="E7" s="1"/>
      <c r="F7" s="1"/>
      <c r="G7" s="1"/>
      <c r="H7" s="1"/>
      <c r="I7" s="1"/>
    </row>
    <row r="8" spans="1:10" x14ac:dyDescent="0.45">
      <c r="A8" t="s">
        <v>16</v>
      </c>
      <c r="B8" s="1"/>
      <c r="C8" s="1"/>
      <c r="D8" s="1"/>
      <c r="E8" s="1"/>
      <c r="F8" s="1"/>
      <c r="G8" s="1"/>
      <c r="H8" s="1"/>
      <c r="I8" s="1"/>
    </row>
    <row r="9" spans="1:10" x14ac:dyDescent="0.45">
      <c r="A9" s="17" t="s">
        <v>400</v>
      </c>
      <c r="B9" s="17" t="s">
        <v>399</v>
      </c>
      <c r="C9" s="17" t="s">
        <v>401</v>
      </c>
      <c r="D9" s="17" t="s">
        <v>402</v>
      </c>
      <c r="E9" s="17" t="s">
        <v>403</v>
      </c>
      <c r="F9" s="17" t="s">
        <v>404</v>
      </c>
      <c r="G9" s="17" t="s">
        <v>405</v>
      </c>
      <c r="H9" s="17" t="s">
        <v>406</v>
      </c>
      <c r="I9" s="17" t="s">
        <v>407</v>
      </c>
      <c r="J9" s="17" t="s">
        <v>438</v>
      </c>
    </row>
    <row r="10" spans="1:10" x14ac:dyDescent="0.45">
      <c r="A10">
        <v>1</v>
      </c>
      <c r="B10" t="s">
        <v>448</v>
      </c>
      <c r="C10" s="3">
        <v>46056</v>
      </c>
      <c r="D10" t="s">
        <v>411</v>
      </c>
      <c r="E10" t="s">
        <v>449</v>
      </c>
      <c r="F10" t="s">
        <v>450</v>
      </c>
      <c r="H10" t="s">
        <v>71</v>
      </c>
      <c r="I10" t="s">
        <v>96</v>
      </c>
      <c r="J10" t="str">
        <f>テーブル34[[#This Row],[type]]&amp;"/"&amp;SUBSTITUTE(LOWER(テーブル34[[#This Row],[title]])," ","-")</f>
        <v>fix/indexカラム修正</v>
      </c>
    </row>
    <row r="11" spans="1:10" x14ac:dyDescent="0.45">
      <c r="A11">
        <v>2</v>
      </c>
      <c r="J11" t="str">
        <f>テーブル34[[#This Row],[type]]&amp;"/"&amp;SUBSTITUTE(LOWER(テーブル34[[#This Row],[title]])," ","-")</f>
        <v>/</v>
      </c>
    </row>
    <row r="12" spans="1:10" x14ac:dyDescent="0.45">
      <c r="A12">
        <v>3</v>
      </c>
      <c r="J12" t="str">
        <f>テーブル34[[#This Row],[type]]&amp;"/"&amp;SUBSTITUTE(LOWER(テーブル34[[#This Row],[title]])," ","-")</f>
        <v>/</v>
      </c>
    </row>
    <row r="13" spans="1:10" x14ac:dyDescent="0.45">
      <c r="A13">
        <v>4</v>
      </c>
      <c r="J13" t="str">
        <f>テーブル34[[#This Row],[type]]&amp;"/"&amp;SUBSTITUTE(LOWER(テーブル34[[#This Row],[title]])," ","-")</f>
        <v>/</v>
      </c>
    </row>
    <row r="14" spans="1:10" x14ac:dyDescent="0.45">
      <c r="A14">
        <v>5</v>
      </c>
      <c r="J14" t="str">
        <f>テーブル34[[#This Row],[type]]&amp;"/"&amp;SUBSTITUTE(LOWER(テーブル34[[#This Row],[title]])," ","-")</f>
        <v>/</v>
      </c>
    </row>
    <row r="15" spans="1:10" x14ac:dyDescent="0.45">
      <c r="A15">
        <v>6</v>
      </c>
      <c r="J15" t="str">
        <f>テーブル34[[#This Row],[type]]&amp;"/"&amp;SUBSTITUTE(LOWER(テーブル34[[#This Row],[title]])," ","-")</f>
        <v>/</v>
      </c>
    </row>
    <row r="16" spans="1:10" x14ac:dyDescent="0.45">
      <c r="A16">
        <v>7</v>
      </c>
      <c r="J16" t="str">
        <f>テーブル34[[#This Row],[type]]&amp;"/"&amp;SUBSTITUTE(LOWER(テーブル34[[#This Row],[title]])," ","-")</f>
        <v>/</v>
      </c>
    </row>
    <row r="17" spans="1:10" x14ac:dyDescent="0.45">
      <c r="A17">
        <v>8</v>
      </c>
      <c r="J17" t="str">
        <f>テーブル34[[#This Row],[type]]&amp;"/"&amp;SUBSTITUTE(LOWER(テーブル34[[#This Row],[title]])," ","-")</f>
        <v>/</v>
      </c>
    </row>
    <row r="18" spans="1:10" x14ac:dyDescent="0.45">
      <c r="A18">
        <v>9</v>
      </c>
      <c r="J18" t="str">
        <f>テーブル34[[#This Row],[type]]&amp;"/"&amp;SUBSTITUTE(LOWER(テーブル34[[#This Row],[title]])," ","-")</f>
        <v>/</v>
      </c>
    </row>
    <row r="19" spans="1:10" x14ac:dyDescent="0.45">
      <c r="A19">
        <v>10</v>
      </c>
      <c r="J19" t="str">
        <f>テーブル34[[#This Row],[type]]&amp;"/"&amp;SUBSTITUTE(LOWER(テーブル34[[#This Row],[title]])," ","-")</f>
        <v>/</v>
      </c>
    </row>
    <row r="20" spans="1:10" x14ac:dyDescent="0.45">
      <c r="A20">
        <v>11</v>
      </c>
      <c r="J20" t="str">
        <f>テーブル34[[#This Row],[type]]&amp;"/"&amp;SUBSTITUTE(LOWER(テーブル34[[#This Row],[title]])," ","-")</f>
        <v>/</v>
      </c>
    </row>
    <row r="21" spans="1:10" x14ac:dyDescent="0.45">
      <c r="A21">
        <v>12</v>
      </c>
      <c r="J21" t="str">
        <f>テーブル34[[#This Row],[type]]&amp;"/"&amp;SUBSTITUTE(LOWER(テーブル34[[#This Row],[title]])," ","-")</f>
        <v>/</v>
      </c>
    </row>
    <row r="22" spans="1:10" x14ac:dyDescent="0.45">
      <c r="A22">
        <v>13</v>
      </c>
      <c r="J22" t="str">
        <f>テーブル34[[#This Row],[type]]&amp;"/"&amp;SUBSTITUTE(LOWER(テーブル34[[#This Row],[title]])," ","-")</f>
        <v>/</v>
      </c>
    </row>
    <row r="23" spans="1:10" x14ac:dyDescent="0.45">
      <c r="A23">
        <v>14</v>
      </c>
      <c r="J23" t="str">
        <f>テーブル34[[#This Row],[type]]&amp;"/"&amp;SUBSTITUTE(LOWER(テーブル34[[#This Row],[title]])," ","-")</f>
        <v>/</v>
      </c>
    </row>
    <row r="24" spans="1:10" x14ac:dyDescent="0.45">
      <c r="A24">
        <v>15</v>
      </c>
      <c r="J24" t="str">
        <f>テーブル34[[#This Row],[type]]&amp;"/"&amp;SUBSTITUTE(LOWER(テーブル34[[#This Row],[title]])," ","-")</f>
        <v>/</v>
      </c>
    </row>
    <row r="25" spans="1:10" x14ac:dyDescent="0.45">
      <c r="A25">
        <v>16</v>
      </c>
      <c r="J25" t="str">
        <f>テーブル34[[#This Row],[type]]&amp;"/"&amp;SUBSTITUTE(LOWER(テーブル34[[#This Row],[title]])," ","-")</f>
        <v>/</v>
      </c>
    </row>
    <row r="26" spans="1:10" x14ac:dyDescent="0.45">
      <c r="A26">
        <v>17</v>
      </c>
      <c r="J26" t="str">
        <f>テーブル34[[#This Row],[type]]&amp;"/"&amp;SUBSTITUTE(LOWER(テーブル34[[#This Row],[title]])," ","-")</f>
        <v>/</v>
      </c>
    </row>
    <row r="27" spans="1:10" x14ac:dyDescent="0.45">
      <c r="A27">
        <v>18</v>
      </c>
      <c r="J27" t="str">
        <f>テーブル34[[#This Row],[type]]&amp;"/"&amp;SUBSTITUTE(LOWER(テーブル34[[#This Row],[title]])," ","-")</f>
        <v>/</v>
      </c>
    </row>
    <row r="28" spans="1:10" x14ac:dyDescent="0.45">
      <c r="A28">
        <v>19</v>
      </c>
      <c r="J28" t="str">
        <f>テーブル34[[#This Row],[type]]&amp;"/"&amp;SUBSTITUTE(LOWER(テーブル34[[#This Row],[title]])," ","-")</f>
        <v>/</v>
      </c>
    </row>
    <row r="29" spans="1:10" x14ac:dyDescent="0.45">
      <c r="A29">
        <v>20</v>
      </c>
      <c r="J29" t="str">
        <f>テーブル34[[#This Row],[type]]&amp;"/"&amp;SUBSTITUTE(LOWER(テーブル34[[#This Row],[title]])," ","-")</f>
        <v>/</v>
      </c>
    </row>
    <row r="30" spans="1:10" x14ac:dyDescent="0.45">
      <c r="A30">
        <v>21</v>
      </c>
      <c r="J30" t="str">
        <f>テーブル34[[#This Row],[type]]&amp;"/"&amp;SUBSTITUTE(LOWER(テーブル34[[#This Row],[title]])," ","-")</f>
        <v>/</v>
      </c>
    </row>
    <row r="31" spans="1:10" x14ac:dyDescent="0.45">
      <c r="A31">
        <v>22</v>
      </c>
      <c r="J31" t="str">
        <f>テーブル34[[#This Row],[type]]&amp;"/"&amp;SUBSTITUTE(LOWER(テーブル34[[#This Row],[title]])," ","-")</f>
        <v>/</v>
      </c>
    </row>
    <row r="32" spans="1:10" x14ac:dyDescent="0.45">
      <c r="A32">
        <v>23</v>
      </c>
      <c r="J32" t="str">
        <f>テーブル34[[#This Row],[type]]&amp;"/"&amp;SUBSTITUTE(LOWER(テーブル34[[#This Row],[title]])," ","-")</f>
        <v>/</v>
      </c>
    </row>
    <row r="33" spans="1:10" x14ac:dyDescent="0.45">
      <c r="A33">
        <v>24</v>
      </c>
      <c r="J33" t="str">
        <f>テーブル34[[#This Row],[type]]&amp;"/"&amp;SUBSTITUTE(LOWER(テーブル34[[#This Row],[title]])," ","-")</f>
        <v>/</v>
      </c>
    </row>
    <row r="34" spans="1:10" x14ac:dyDescent="0.45">
      <c r="A34">
        <v>25</v>
      </c>
      <c r="J34" t="str">
        <f>テーブル34[[#This Row],[type]]&amp;"/"&amp;SUBSTITUTE(LOWER(テーブル34[[#This Row],[title]])," ","-")</f>
        <v>/</v>
      </c>
    </row>
    <row r="35" spans="1:10" x14ac:dyDescent="0.45">
      <c r="A35">
        <v>26</v>
      </c>
      <c r="J35" t="str">
        <f>テーブル34[[#This Row],[type]]&amp;"/"&amp;SUBSTITUTE(LOWER(テーブル34[[#This Row],[title]])," ","-")</f>
        <v>/</v>
      </c>
    </row>
    <row r="36" spans="1:10" x14ac:dyDescent="0.45">
      <c r="A36">
        <v>27</v>
      </c>
      <c r="J36" t="str">
        <f>テーブル34[[#This Row],[type]]&amp;"/"&amp;SUBSTITUTE(LOWER(テーブル34[[#This Row],[title]])," ","-")</f>
        <v>/</v>
      </c>
    </row>
    <row r="37" spans="1:10" x14ac:dyDescent="0.45">
      <c r="A37">
        <v>28</v>
      </c>
      <c r="J37" t="str">
        <f>テーブル34[[#This Row],[type]]&amp;"/"&amp;SUBSTITUTE(LOWER(テーブル34[[#This Row],[title]])," ","-")</f>
        <v>/</v>
      </c>
    </row>
    <row r="38" spans="1:10" x14ac:dyDescent="0.45">
      <c r="A38">
        <v>29</v>
      </c>
      <c r="J38" t="str">
        <f>テーブル34[[#This Row],[type]]&amp;"/"&amp;SUBSTITUTE(LOWER(テーブル34[[#This Row],[title]])," ","-")</f>
        <v>/</v>
      </c>
    </row>
    <row r="39" spans="1:10" x14ac:dyDescent="0.45">
      <c r="A39">
        <v>30</v>
      </c>
      <c r="J39" t="str">
        <f>テーブル34[[#This Row],[type]]&amp;"/"&amp;SUBSTITUTE(LOWER(テーブル34[[#This Row],[title]])," ","-")</f>
        <v>/</v>
      </c>
    </row>
    <row r="40" spans="1:10" x14ac:dyDescent="0.45">
      <c r="A40">
        <v>31</v>
      </c>
      <c r="J40" t="str">
        <f>テーブル34[[#This Row],[type]]&amp;"/"&amp;SUBSTITUTE(LOWER(テーブル34[[#This Row],[title]])," ","-")</f>
        <v>/</v>
      </c>
    </row>
    <row r="41" spans="1:10" x14ac:dyDescent="0.45">
      <c r="A41">
        <v>32</v>
      </c>
      <c r="J41" t="str">
        <f>テーブル34[[#This Row],[type]]&amp;"/"&amp;SUBSTITUTE(LOWER(テーブル34[[#This Row],[title]])," ","-")</f>
        <v>/</v>
      </c>
    </row>
    <row r="42" spans="1:10" x14ac:dyDescent="0.45">
      <c r="A42">
        <v>33</v>
      </c>
      <c r="J42" t="str">
        <f>テーブル34[[#This Row],[type]]&amp;"/"&amp;SUBSTITUTE(LOWER(テーブル34[[#This Row],[title]])," ","-")</f>
        <v>/</v>
      </c>
    </row>
    <row r="43" spans="1:10" x14ac:dyDescent="0.45">
      <c r="A43">
        <v>34</v>
      </c>
      <c r="J43" t="str">
        <f>テーブル34[[#This Row],[type]]&amp;"/"&amp;SUBSTITUTE(LOWER(テーブル34[[#This Row],[title]])," ","-")</f>
        <v>/</v>
      </c>
    </row>
    <row r="44" spans="1:10" x14ac:dyDescent="0.45">
      <c r="A44">
        <v>35</v>
      </c>
      <c r="J44" t="str">
        <f>テーブル34[[#This Row],[type]]&amp;"/"&amp;SUBSTITUTE(LOWER(テーブル34[[#This Row],[title]])," ","-")</f>
        <v>/</v>
      </c>
    </row>
    <row r="45" spans="1:10" x14ac:dyDescent="0.45">
      <c r="A45">
        <v>36</v>
      </c>
      <c r="J45" t="str">
        <f>テーブル34[[#This Row],[type]]&amp;"/"&amp;SUBSTITUTE(LOWER(テーブル34[[#This Row],[title]])," ","-")</f>
        <v>/</v>
      </c>
    </row>
    <row r="46" spans="1:10" x14ac:dyDescent="0.45">
      <c r="A46">
        <v>37</v>
      </c>
      <c r="J46" t="str">
        <f>テーブル34[[#This Row],[type]]&amp;"/"&amp;SUBSTITUTE(LOWER(テーブル34[[#This Row],[title]])," ","-")</f>
        <v>/</v>
      </c>
    </row>
    <row r="47" spans="1:10" x14ac:dyDescent="0.45">
      <c r="A47">
        <v>38</v>
      </c>
      <c r="J47" t="str">
        <f>テーブル34[[#This Row],[type]]&amp;"/"&amp;SUBSTITUTE(LOWER(テーブル34[[#This Row],[title]])," ","-")</f>
        <v>/</v>
      </c>
    </row>
    <row r="48" spans="1:10" x14ac:dyDescent="0.45">
      <c r="A48">
        <v>39</v>
      </c>
      <c r="J48" t="str">
        <f>テーブル34[[#This Row],[type]]&amp;"/"&amp;SUBSTITUTE(LOWER(テーブル34[[#This Row],[title]])," ","-")</f>
        <v>/</v>
      </c>
    </row>
    <row r="49" spans="1:10" x14ac:dyDescent="0.45">
      <c r="A49">
        <v>40</v>
      </c>
      <c r="J49" t="str">
        <f>テーブル34[[#This Row],[type]]&amp;"/"&amp;SUBSTITUTE(LOWER(テーブル34[[#This Row],[title]])," ","-")</f>
        <v>/</v>
      </c>
    </row>
    <row r="50" spans="1:10" x14ac:dyDescent="0.45">
      <c r="A50">
        <v>41</v>
      </c>
      <c r="J50" t="str">
        <f>テーブル34[[#This Row],[type]]&amp;"/"&amp;SUBSTITUTE(LOWER(テーブル34[[#This Row],[title]])," ","-")</f>
        <v>/</v>
      </c>
    </row>
    <row r="51" spans="1:10" x14ac:dyDescent="0.45">
      <c r="A51">
        <v>42</v>
      </c>
      <c r="J51" t="str">
        <f>テーブル34[[#This Row],[type]]&amp;"/"&amp;SUBSTITUTE(LOWER(テーブル34[[#This Row],[title]])," ","-")</f>
        <v>/</v>
      </c>
    </row>
    <row r="52" spans="1:10" x14ac:dyDescent="0.45">
      <c r="A52">
        <v>43</v>
      </c>
      <c r="J52" t="str">
        <f>テーブル34[[#This Row],[type]]&amp;"/"&amp;SUBSTITUTE(LOWER(テーブル34[[#This Row],[title]])," ","-")</f>
        <v>/</v>
      </c>
    </row>
    <row r="53" spans="1:10" x14ac:dyDescent="0.45">
      <c r="A53">
        <v>44</v>
      </c>
      <c r="J53" t="str">
        <f>テーブル34[[#This Row],[type]]&amp;"/"&amp;SUBSTITUTE(LOWER(テーブル34[[#This Row],[title]])," ","-")</f>
        <v>/</v>
      </c>
    </row>
    <row r="54" spans="1:10" x14ac:dyDescent="0.45">
      <c r="A54">
        <v>45</v>
      </c>
      <c r="J54" t="str">
        <f>テーブル34[[#This Row],[type]]&amp;"/"&amp;SUBSTITUTE(LOWER(テーブル34[[#This Row],[title]])," ","-")</f>
        <v>/</v>
      </c>
    </row>
    <row r="55" spans="1:10" x14ac:dyDescent="0.45">
      <c r="A55">
        <v>46</v>
      </c>
      <c r="J55" t="str">
        <f>テーブル34[[#This Row],[type]]&amp;"/"&amp;SUBSTITUTE(LOWER(テーブル34[[#This Row],[title]])," ","-")</f>
        <v>/</v>
      </c>
    </row>
    <row r="56" spans="1:10" x14ac:dyDescent="0.45">
      <c r="A56">
        <v>47</v>
      </c>
      <c r="J56" t="str">
        <f>テーブル34[[#This Row],[type]]&amp;"/"&amp;SUBSTITUTE(LOWER(テーブル34[[#This Row],[title]])," ","-")</f>
        <v>/</v>
      </c>
    </row>
    <row r="57" spans="1:10" x14ac:dyDescent="0.45">
      <c r="A57">
        <v>48</v>
      </c>
      <c r="J57" t="str">
        <f>テーブル34[[#This Row],[type]]&amp;"/"&amp;SUBSTITUTE(LOWER(テーブル34[[#This Row],[title]])," ","-")</f>
        <v>/</v>
      </c>
    </row>
    <row r="58" spans="1:10" x14ac:dyDescent="0.45">
      <c r="A58">
        <v>49</v>
      </c>
      <c r="J58" t="str">
        <f>テーブル34[[#This Row],[type]]&amp;"/"&amp;SUBSTITUTE(LOWER(テーブル34[[#This Row],[title]])," ","-")</f>
        <v>/</v>
      </c>
    </row>
    <row r="59" spans="1:10" x14ac:dyDescent="0.45">
      <c r="A59">
        <v>50</v>
      </c>
      <c r="J59" t="str">
        <f>テーブル34[[#This Row],[type]]&amp;"/"&amp;SUBSTITUTE(LOWER(テーブル34[[#This Row],[title]])," ","-")</f>
        <v>/</v>
      </c>
    </row>
    <row r="60" spans="1:10" x14ac:dyDescent="0.45">
      <c r="A60">
        <v>51</v>
      </c>
      <c r="J60" t="str">
        <f>テーブル34[[#This Row],[type]]&amp;"/"&amp;SUBSTITUTE(LOWER(テーブル34[[#This Row],[title]])," ","-")</f>
        <v>/</v>
      </c>
    </row>
    <row r="61" spans="1:10" x14ac:dyDescent="0.45">
      <c r="A61">
        <v>52</v>
      </c>
      <c r="J61" t="str">
        <f>テーブル34[[#This Row],[type]]&amp;"/"&amp;SUBSTITUTE(LOWER(テーブル34[[#This Row],[title]])," ","-")</f>
        <v>/</v>
      </c>
    </row>
    <row r="62" spans="1:10" x14ac:dyDescent="0.45">
      <c r="A62">
        <v>53</v>
      </c>
      <c r="J62" t="str">
        <f>テーブル34[[#This Row],[type]]&amp;"/"&amp;SUBSTITUTE(LOWER(テーブル34[[#This Row],[title]])," ","-")</f>
        <v>/</v>
      </c>
    </row>
    <row r="63" spans="1:10" x14ac:dyDescent="0.45">
      <c r="A63">
        <v>54</v>
      </c>
      <c r="J63" t="str">
        <f>テーブル34[[#This Row],[type]]&amp;"/"&amp;SUBSTITUTE(LOWER(テーブル34[[#This Row],[title]])," ","-")</f>
        <v>/</v>
      </c>
    </row>
    <row r="64" spans="1:10" x14ac:dyDescent="0.45">
      <c r="A64">
        <v>55</v>
      </c>
      <c r="J64" t="str">
        <f>テーブル34[[#This Row],[type]]&amp;"/"&amp;SUBSTITUTE(LOWER(テーブル34[[#This Row],[title]])," ","-")</f>
        <v>/</v>
      </c>
    </row>
    <row r="65" spans="1:10" x14ac:dyDescent="0.45">
      <c r="A65">
        <v>56</v>
      </c>
      <c r="J65" t="str">
        <f>テーブル34[[#This Row],[type]]&amp;"/"&amp;SUBSTITUTE(LOWER(テーブル34[[#This Row],[title]])," ","-")</f>
        <v>/</v>
      </c>
    </row>
    <row r="66" spans="1:10" x14ac:dyDescent="0.45">
      <c r="A66">
        <v>57</v>
      </c>
      <c r="J66" t="str">
        <f>テーブル34[[#This Row],[type]]&amp;"/"&amp;SUBSTITUTE(LOWER(テーブル34[[#This Row],[title]])," ","-")</f>
        <v>/</v>
      </c>
    </row>
    <row r="67" spans="1:10" x14ac:dyDescent="0.45">
      <c r="A67">
        <v>58</v>
      </c>
      <c r="J67" t="str">
        <f>テーブル34[[#This Row],[type]]&amp;"/"&amp;SUBSTITUTE(LOWER(テーブル34[[#This Row],[title]])," ","-")</f>
        <v>/</v>
      </c>
    </row>
    <row r="68" spans="1:10" x14ac:dyDescent="0.45">
      <c r="A68">
        <v>59</v>
      </c>
      <c r="J68" t="str">
        <f>テーブル34[[#This Row],[type]]&amp;"/"&amp;SUBSTITUTE(LOWER(テーブル34[[#This Row],[title]])," ","-")</f>
        <v>/</v>
      </c>
    </row>
    <row r="69" spans="1:10" x14ac:dyDescent="0.45">
      <c r="A69">
        <v>60</v>
      </c>
      <c r="J69" t="str">
        <f>テーブル34[[#This Row],[type]]&amp;"/"&amp;SUBSTITUTE(LOWER(テーブル34[[#This Row],[title]])," ","-")</f>
        <v>/</v>
      </c>
    </row>
    <row r="70" spans="1:10" x14ac:dyDescent="0.45">
      <c r="A70">
        <v>61</v>
      </c>
      <c r="J70" t="str">
        <f>テーブル34[[#This Row],[type]]&amp;"/"&amp;SUBSTITUTE(LOWER(テーブル34[[#This Row],[title]])," ","-")</f>
        <v>/</v>
      </c>
    </row>
    <row r="71" spans="1:10" x14ac:dyDescent="0.45">
      <c r="A71">
        <v>62</v>
      </c>
      <c r="J71" t="str">
        <f>テーブル34[[#This Row],[type]]&amp;"/"&amp;SUBSTITUTE(LOWER(テーブル34[[#This Row],[title]])," ","-")</f>
        <v>/</v>
      </c>
    </row>
    <row r="72" spans="1:10" x14ac:dyDescent="0.45">
      <c r="A72">
        <v>63</v>
      </c>
      <c r="J72" t="str">
        <f>テーブル34[[#This Row],[type]]&amp;"/"&amp;SUBSTITUTE(LOWER(テーブル34[[#This Row],[title]])," ","-")</f>
        <v>/</v>
      </c>
    </row>
    <row r="73" spans="1:10" x14ac:dyDescent="0.45">
      <c r="A73">
        <v>64</v>
      </c>
      <c r="J73" t="str">
        <f>テーブル34[[#This Row],[type]]&amp;"/"&amp;SUBSTITUTE(LOWER(テーブル34[[#This Row],[title]])," ","-")</f>
        <v>/</v>
      </c>
    </row>
    <row r="74" spans="1:10" x14ac:dyDescent="0.45">
      <c r="A74">
        <v>65</v>
      </c>
      <c r="J74" t="str">
        <f>テーブル34[[#This Row],[type]]&amp;"/"&amp;SUBSTITUTE(LOWER(テーブル34[[#This Row],[title]])," ","-")</f>
        <v>/</v>
      </c>
    </row>
    <row r="75" spans="1:10" x14ac:dyDescent="0.45">
      <c r="A75">
        <v>66</v>
      </c>
      <c r="J75" t="str">
        <f>テーブル34[[#This Row],[type]]&amp;"/"&amp;SUBSTITUTE(LOWER(テーブル34[[#This Row],[title]])," ","-")</f>
        <v>/</v>
      </c>
    </row>
    <row r="76" spans="1:10" x14ac:dyDescent="0.45">
      <c r="A76">
        <v>67</v>
      </c>
      <c r="J76" t="str">
        <f>テーブル34[[#This Row],[type]]&amp;"/"&amp;SUBSTITUTE(LOWER(テーブル34[[#This Row],[title]])," ","-")</f>
        <v>/</v>
      </c>
    </row>
    <row r="77" spans="1:10" x14ac:dyDescent="0.45">
      <c r="A77">
        <v>68</v>
      </c>
      <c r="J77" t="str">
        <f>テーブル34[[#This Row],[type]]&amp;"/"&amp;SUBSTITUTE(LOWER(テーブル34[[#This Row],[title]])," ","-")</f>
        <v>/</v>
      </c>
    </row>
    <row r="78" spans="1:10" x14ac:dyDescent="0.45">
      <c r="A78">
        <v>69</v>
      </c>
      <c r="J78" t="str">
        <f>テーブル34[[#This Row],[type]]&amp;"/"&amp;SUBSTITUTE(LOWER(テーブル34[[#This Row],[title]])," ","-")</f>
        <v>/</v>
      </c>
    </row>
    <row r="79" spans="1:10" x14ac:dyDescent="0.45">
      <c r="A79">
        <v>70</v>
      </c>
      <c r="J79" t="str">
        <f>テーブル34[[#This Row],[type]]&amp;"/"&amp;SUBSTITUTE(LOWER(テーブル34[[#This Row],[title]])," ","-")</f>
        <v>/</v>
      </c>
    </row>
    <row r="80" spans="1:10" x14ac:dyDescent="0.45">
      <c r="A80">
        <v>71</v>
      </c>
      <c r="J80" t="str">
        <f>テーブル34[[#This Row],[type]]&amp;"/"&amp;SUBSTITUTE(LOWER(テーブル34[[#This Row],[title]])," ","-")</f>
        <v>/</v>
      </c>
    </row>
    <row r="81" spans="1:10" x14ac:dyDescent="0.45">
      <c r="A81">
        <v>72</v>
      </c>
      <c r="J81" t="str">
        <f>テーブル34[[#This Row],[type]]&amp;"/"&amp;SUBSTITUTE(LOWER(テーブル34[[#This Row],[title]])," ","-")</f>
        <v>/</v>
      </c>
    </row>
    <row r="82" spans="1:10" x14ac:dyDescent="0.45">
      <c r="A82">
        <v>73</v>
      </c>
      <c r="J82" t="str">
        <f>テーブル34[[#This Row],[type]]&amp;"/"&amp;SUBSTITUTE(LOWER(テーブル34[[#This Row],[title]])," ","-")</f>
        <v>/</v>
      </c>
    </row>
    <row r="83" spans="1:10" x14ac:dyDescent="0.45">
      <c r="A83">
        <v>74</v>
      </c>
      <c r="J83" t="str">
        <f>テーブル34[[#This Row],[type]]&amp;"/"&amp;SUBSTITUTE(LOWER(テーブル34[[#This Row],[title]])," ","-")</f>
        <v>/</v>
      </c>
    </row>
    <row r="84" spans="1:10" x14ac:dyDescent="0.45">
      <c r="A84">
        <v>75</v>
      </c>
      <c r="J84" t="str">
        <f>テーブル34[[#This Row],[type]]&amp;"/"&amp;SUBSTITUTE(LOWER(テーブル34[[#This Row],[title]])," ","-")</f>
        <v>/</v>
      </c>
    </row>
    <row r="85" spans="1:10" x14ac:dyDescent="0.45">
      <c r="A85">
        <v>76</v>
      </c>
      <c r="J85" t="str">
        <f>テーブル34[[#This Row],[type]]&amp;"/"&amp;SUBSTITUTE(LOWER(テーブル34[[#This Row],[title]])," ","-")</f>
        <v>/</v>
      </c>
    </row>
    <row r="86" spans="1:10" x14ac:dyDescent="0.45">
      <c r="A86">
        <v>77</v>
      </c>
      <c r="J86" t="str">
        <f>テーブル34[[#This Row],[type]]&amp;"/"&amp;SUBSTITUTE(LOWER(テーブル34[[#This Row],[title]])," ","-")</f>
        <v>/</v>
      </c>
    </row>
    <row r="87" spans="1:10" x14ac:dyDescent="0.45">
      <c r="A87">
        <v>78</v>
      </c>
      <c r="J87" t="str">
        <f>テーブル34[[#This Row],[type]]&amp;"/"&amp;SUBSTITUTE(LOWER(テーブル34[[#This Row],[title]])," ","-")</f>
        <v>/</v>
      </c>
    </row>
    <row r="88" spans="1:10" x14ac:dyDescent="0.45">
      <c r="A88">
        <v>79</v>
      </c>
      <c r="J88" t="str">
        <f>テーブル34[[#This Row],[type]]&amp;"/"&amp;SUBSTITUTE(LOWER(テーブル34[[#This Row],[title]])," ","-")</f>
        <v>/</v>
      </c>
    </row>
    <row r="89" spans="1:10" x14ac:dyDescent="0.45">
      <c r="A89">
        <v>80</v>
      </c>
      <c r="J89" t="str">
        <f>テーブル34[[#This Row],[type]]&amp;"/"&amp;SUBSTITUTE(LOWER(テーブル34[[#This Row],[title]])," ","-")</f>
        <v>/</v>
      </c>
    </row>
    <row r="90" spans="1:10" x14ac:dyDescent="0.45">
      <c r="A90">
        <v>81</v>
      </c>
      <c r="J90" t="str">
        <f>テーブル34[[#This Row],[type]]&amp;"/"&amp;SUBSTITUTE(LOWER(テーブル34[[#This Row],[title]])," ","-")</f>
        <v>/</v>
      </c>
    </row>
    <row r="91" spans="1:10" x14ac:dyDescent="0.45">
      <c r="A91">
        <v>82</v>
      </c>
      <c r="J91" t="str">
        <f>テーブル34[[#This Row],[type]]&amp;"/"&amp;SUBSTITUTE(LOWER(テーブル34[[#This Row],[title]])," ","-")</f>
        <v>/</v>
      </c>
    </row>
    <row r="92" spans="1:10" x14ac:dyDescent="0.45">
      <c r="A92">
        <v>83</v>
      </c>
      <c r="J92" t="str">
        <f>テーブル34[[#This Row],[type]]&amp;"/"&amp;SUBSTITUTE(LOWER(テーブル34[[#This Row],[title]])," ","-")</f>
        <v>/</v>
      </c>
    </row>
    <row r="93" spans="1:10" x14ac:dyDescent="0.45">
      <c r="A93">
        <v>84</v>
      </c>
      <c r="J93" t="str">
        <f>テーブル34[[#This Row],[type]]&amp;"/"&amp;SUBSTITUTE(LOWER(テーブル34[[#This Row],[title]])," ","-")</f>
        <v>/</v>
      </c>
    </row>
    <row r="94" spans="1:10" x14ac:dyDescent="0.45">
      <c r="A94">
        <v>85</v>
      </c>
      <c r="J94" t="str">
        <f>テーブル34[[#This Row],[type]]&amp;"/"&amp;SUBSTITUTE(LOWER(テーブル34[[#This Row],[title]])," ","-")</f>
        <v>/</v>
      </c>
    </row>
    <row r="95" spans="1:10" x14ac:dyDescent="0.45">
      <c r="A95">
        <v>86</v>
      </c>
      <c r="J95" t="str">
        <f>テーブル34[[#This Row],[type]]&amp;"/"&amp;SUBSTITUTE(LOWER(テーブル34[[#This Row],[title]])," ","-")</f>
        <v>/</v>
      </c>
    </row>
    <row r="96" spans="1:10" x14ac:dyDescent="0.45">
      <c r="A96">
        <v>87</v>
      </c>
      <c r="J96" t="str">
        <f>テーブル34[[#This Row],[type]]&amp;"/"&amp;SUBSTITUTE(LOWER(テーブル34[[#This Row],[title]])," ","-")</f>
        <v>/</v>
      </c>
    </row>
    <row r="97" spans="1:10" x14ac:dyDescent="0.45">
      <c r="A97">
        <v>88</v>
      </c>
      <c r="J97" t="str">
        <f>テーブル34[[#This Row],[type]]&amp;"/"&amp;SUBSTITUTE(LOWER(テーブル34[[#This Row],[title]])," ","-")</f>
        <v>/</v>
      </c>
    </row>
    <row r="98" spans="1:10" x14ac:dyDescent="0.45">
      <c r="A98">
        <v>89</v>
      </c>
      <c r="J98" t="str">
        <f>テーブル34[[#This Row],[type]]&amp;"/"&amp;SUBSTITUTE(LOWER(テーブル34[[#This Row],[title]])," ","-")</f>
        <v>/</v>
      </c>
    </row>
    <row r="99" spans="1:10" x14ac:dyDescent="0.45">
      <c r="A99">
        <v>90</v>
      </c>
      <c r="J99" t="str">
        <f>テーブル34[[#This Row],[type]]&amp;"/"&amp;SUBSTITUTE(LOWER(テーブル34[[#This Row],[title]])," ","-")</f>
        <v>/</v>
      </c>
    </row>
    <row r="100" spans="1:10" x14ac:dyDescent="0.45">
      <c r="A100">
        <v>91</v>
      </c>
      <c r="J100" t="str">
        <f>テーブル34[[#This Row],[type]]&amp;"/"&amp;SUBSTITUTE(LOWER(テーブル34[[#This Row],[title]])," ","-")</f>
        <v>/</v>
      </c>
    </row>
    <row r="101" spans="1:10" x14ac:dyDescent="0.45">
      <c r="A101">
        <v>92</v>
      </c>
      <c r="J101" t="str">
        <f>テーブル34[[#This Row],[type]]&amp;"/"&amp;SUBSTITUTE(LOWER(テーブル34[[#This Row],[title]])," ","-")</f>
        <v>/</v>
      </c>
    </row>
    <row r="102" spans="1:10" x14ac:dyDescent="0.45">
      <c r="A102">
        <v>93</v>
      </c>
      <c r="J102" t="str">
        <f>テーブル34[[#This Row],[type]]&amp;"/"&amp;SUBSTITUTE(LOWER(テーブル34[[#This Row],[title]])," ","-")</f>
        <v>/</v>
      </c>
    </row>
    <row r="103" spans="1:10" x14ac:dyDescent="0.45">
      <c r="A103">
        <v>94</v>
      </c>
      <c r="J103" t="str">
        <f>テーブル34[[#This Row],[type]]&amp;"/"&amp;SUBSTITUTE(LOWER(テーブル34[[#This Row],[title]])," ","-")</f>
        <v>/</v>
      </c>
    </row>
    <row r="104" spans="1:10" x14ac:dyDescent="0.45">
      <c r="A104">
        <v>95</v>
      </c>
      <c r="J104" t="str">
        <f>テーブル34[[#This Row],[type]]&amp;"/"&amp;SUBSTITUTE(LOWER(テーブル34[[#This Row],[title]])," ","-")</f>
        <v>/</v>
      </c>
    </row>
    <row r="105" spans="1:10" x14ac:dyDescent="0.45">
      <c r="A105">
        <v>96</v>
      </c>
      <c r="J105" t="str">
        <f>テーブル34[[#This Row],[type]]&amp;"/"&amp;SUBSTITUTE(LOWER(テーブル34[[#This Row],[title]])," ","-")</f>
        <v>/</v>
      </c>
    </row>
    <row r="106" spans="1:10" x14ac:dyDescent="0.45">
      <c r="A106">
        <v>97</v>
      </c>
      <c r="J106" t="str">
        <f>テーブル34[[#This Row],[type]]&amp;"/"&amp;SUBSTITUTE(LOWER(テーブル34[[#This Row],[title]])," ","-")</f>
        <v>/</v>
      </c>
    </row>
    <row r="107" spans="1:10" x14ac:dyDescent="0.45">
      <c r="A107">
        <v>98</v>
      </c>
      <c r="J107" t="str">
        <f>テーブル34[[#This Row],[type]]&amp;"/"&amp;SUBSTITUTE(LOWER(テーブル34[[#This Row],[title]])," ","-")</f>
        <v>/</v>
      </c>
    </row>
    <row r="108" spans="1:10" x14ac:dyDescent="0.45">
      <c r="A108">
        <v>99</v>
      </c>
      <c r="J108" t="str">
        <f>テーブル34[[#This Row],[type]]&amp;"/"&amp;SUBSTITUTE(LOWER(テーブル34[[#This Row],[title]])," ","-")</f>
        <v>/</v>
      </c>
    </row>
    <row r="109" spans="1:10" x14ac:dyDescent="0.45">
      <c r="A109">
        <v>100</v>
      </c>
      <c r="J109" t="str">
        <f>テーブル34[[#This Row],[type]]&amp;"/"&amp;SUBSTITUTE(LOWER(テーブル34[[#This Row],[title]])," ","-")</f>
        <v>/</v>
      </c>
    </row>
  </sheetData>
  <phoneticPr fontId="3"/>
  <dataValidations count="4">
    <dataValidation type="list" allowBlank="1" showInputMessage="1" showErrorMessage="1" sqref="B3" xr:uid="{D16DB20F-024B-4A1D-AE19-4DF46BF61CBB}">
      <formula1>lstSheetRole</formula1>
    </dataValidation>
    <dataValidation type="list" allowBlank="1" showInputMessage="1" showErrorMessage="1" sqref="D10:D109" xr:uid="{635523E6-D488-4391-91A9-43D40AD5BF61}">
      <formula1>lstBranchPreffix</formula1>
    </dataValidation>
    <dataValidation type="list" allowBlank="1" showInputMessage="1" showErrorMessage="1" sqref="H10:H109" xr:uid="{BC4DA140-6085-46E5-A3B1-18BDEEED3255}">
      <formula1>lstOwner</formula1>
    </dataValidation>
    <dataValidation type="list" allowBlank="1" showInputMessage="1" showErrorMessage="1" sqref="I10:I109" xr:uid="{AFA3E592-0590-4209-B51D-28F9B3A0CB90}">
      <formula1>lstKanbanStatus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DE630-D9F2-4423-A403-C631DFC96904}">
  <sheetPr codeName="Sheet19"/>
  <dimension ref="A1:R258"/>
  <sheetViews>
    <sheetView zoomScaleNormal="100" workbookViewId="0">
      <pane xSplit="2" ySplit="3" topLeftCell="C4" activePane="bottomRight" state="frozen"/>
      <selection activeCell="F14" sqref="F14"/>
      <selection pane="topRight" activeCell="F14" sqref="F14"/>
      <selection pane="bottomLeft" activeCell="F14" sqref="F14"/>
      <selection pane="bottomRight" activeCell="D7" sqref="D7"/>
    </sheetView>
  </sheetViews>
  <sheetFormatPr defaultRowHeight="18" x14ac:dyDescent="0.45"/>
  <cols>
    <col min="1" max="1" width="16.5" style="1" customWidth="1"/>
    <col min="2" max="2" width="38.19921875" style="1" bestFit="1" customWidth="1"/>
    <col min="3" max="3" width="21.8984375" style="1" customWidth="1"/>
    <col min="4" max="4" width="26.796875" style="1" customWidth="1"/>
    <col min="5" max="6" width="15.5" style="1" customWidth="1"/>
    <col min="7" max="8" width="12.796875" style="1" customWidth="1"/>
    <col min="9" max="9" width="18" style="1" bestFit="1" customWidth="1"/>
    <col min="10" max="10" width="20.59765625" style="1" bestFit="1" customWidth="1"/>
    <col min="11" max="11" width="16.5" style="1" customWidth="1"/>
    <col min="12" max="12" width="18.5" style="1" customWidth="1"/>
    <col min="13" max="13" width="14.69921875" style="1" bestFit="1" customWidth="1"/>
    <col min="15" max="15" width="11.796875" style="1" customWidth="1"/>
    <col min="16" max="16" width="12.296875" style="1" bestFit="1" customWidth="1"/>
    <col min="17" max="18" width="13.296875" style="1" customWidth="1"/>
  </cols>
  <sheetData>
    <row r="1" spans="1:18" x14ac:dyDescent="0.45">
      <c r="A1" t="s">
        <v>45</v>
      </c>
      <c r="B1" s="2" t="s">
        <v>72</v>
      </c>
      <c r="C1" s="2" t="s">
        <v>73</v>
      </c>
      <c r="Q1"/>
      <c r="R1"/>
    </row>
    <row r="2" spans="1:18" x14ac:dyDescent="0.45">
      <c r="A2" s="6" t="s">
        <v>0</v>
      </c>
      <c r="B2" s="6" t="s">
        <v>1</v>
      </c>
      <c r="Q2"/>
      <c r="R2"/>
    </row>
    <row r="3" spans="1:18" x14ac:dyDescent="0.45">
      <c r="A3" s="6" t="s">
        <v>9</v>
      </c>
      <c r="B3" s="11" t="s">
        <v>443</v>
      </c>
      <c r="Q3"/>
      <c r="R3"/>
    </row>
    <row r="4" spans="1:18" x14ac:dyDescent="0.45">
      <c r="A4" s="6" t="s">
        <v>68</v>
      </c>
      <c r="B4" s="11" t="s">
        <v>444</v>
      </c>
      <c r="Q4"/>
      <c r="R4"/>
    </row>
    <row r="5" spans="1:18" x14ac:dyDescent="0.45">
      <c r="A5" s="6" t="s">
        <v>10</v>
      </c>
      <c r="B5" s="11" t="s">
        <v>445</v>
      </c>
      <c r="Q5"/>
      <c r="R5"/>
    </row>
    <row r="6" spans="1:18" x14ac:dyDescent="0.45">
      <c r="A6" s="6" t="s">
        <v>4</v>
      </c>
      <c r="B6" s="11"/>
      <c r="Q6"/>
      <c r="R6"/>
    </row>
    <row r="7" spans="1:18" x14ac:dyDescent="0.45">
      <c r="A7" s="6" t="s">
        <v>2</v>
      </c>
      <c r="B7" s="11" t="s">
        <v>29</v>
      </c>
      <c r="Q7"/>
      <c r="R7"/>
    </row>
    <row r="8" spans="1:18" x14ac:dyDescent="0.45">
      <c r="A8" s="6" t="s">
        <v>74</v>
      </c>
      <c r="B8" s="11">
        <v>3</v>
      </c>
      <c r="Q8"/>
      <c r="R8"/>
    </row>
    <row r="9" spans="1:18" x14ac:dyDescent="0.45">
      <c r="A9" s="6" t="s">
        <v>75</v>
      </c>
      <c r="B9" s="11">
        <v>3</v>
      </c>
      <c r="Q9"/>
      <c r="R9"/>
    </row>
    <row r="10" spans="1:18" x14ac:dyDescent="0.45">
      <c r="A10" s="6" t="s">
        <v>76</v>
      </c>
      <c r="B10" s="11"/>
      <c r="Q10"/>
      <c r="R10"/>
    </row>
    <row r="11" spans="1:18" x14ac:dyDescent="0.45">
      <c r="A11" s="6" t="s">
        <v>77</v>
      </c>
      <c r="B11" s="11">
        <f>B8*2+B9</f>
        <v>9</v>
      </c>
      <c r="Q11"/>
      <c r="R11"/>
    </row>
    <row r="12" spans="1:18" x14ac:dyDescent="0.45">
      <c r="A12" s="6" t="s">
        <v>11</v>
      </c>
      <c r="B12" s="11" t="s">
        <v>163</v>
      </c>
      <c r="Q12"/>
      <c r="R12"/>
    </row>
    <row r="13" spans="1:18" x14ac:dyDescent="0.45">
      <c r="A13" s="6" t="s">
        <v>59</v>
      </c>
      <c r="B13" s="11"/>
      <c r="Q13"/>
      <c r="R13"/>
    </row>
    <row r="14" spans="1:18" x14ac:dyDescent="0.45">
      <c r="A14" s="6" t="s">
        <v>60</v>
      </c>
      <c r="B14" s="11"/>
      <c r="Q14"/>
      <c r="R14"/>
    </row>
    <row r="15" spans="1:18" x14ac:dyDescent="0.45">
      <c r="A15" s="6" t="s">
        <v>78</v>
      </c>
      <c r="B15" s="11" t="s">
        <v>446</v>
      </c>
      <c r="Q15"/>
      <c r="R15"/>
    </row>
    <row r="16" spans="1:18" x14ac:dyDescent="0.45">
      <c r="A16" s="6" t="s">
        <v>61</v>
      </c>
      <c r="B16" s="12">
        <f>MAX(TaskListTable14_1[last_update])</f>
        <v>46053.875671296293</v>
      </c>
      <c r="Q16"/>
      <c r="R16"/>
    </row>
    <row r="17" spans="1:18" x14ac:dyDescent="0.45">
      <c r="A17" s="6" t="s">
        <v>79</v>
      </c>
      <c r="B17" s="11" t="s">
        <v>80</v>
      </c>
      <c r="Q17"/>
      <c r="R17"/>
    </row>
    <row r="18" spans="1:18" x14ac:dyDescent="0.45">
      <c r="A18" s="6" t="s">
        <v>4</v>
      </c>
      <c r="B18" s="13" t="s">
        <v>30</v>
      </c>
      <c r="Q18"/>
      <c r="R18"/>
    </row>
    <row r="19" spans="1:18" x14ac:dyDescent="0.45">
      <c r="A19" s="6" t="s">
        <v>62</v>
      </c>
      <c r="B19" s="11" t="str">
        <f>IF(COUNTIF(P59:P258,"YES"),"YES","")</f>
        <v/>
      </c>
      <c r="Q19"/>
      <c r="R19"/>
    </row>
    <row r="20" spans="1:18" x14ac:dyDescent="0.45">
      <c r="Q20"/>
      <c r="R20"/>
    </row>
    <row r="21" spans="1:18" x14ac:dyDescent="0.45">
      <c r="Q21"/>
      <c r="R21"/>
    </row>
    <row r="22" spans="1:18" x14ac:dyDescent="0.45">
      <c r="A22" t="s">
        <v>16</v>
      </c>
      <c r="Q22"/>
      <c r="R22"/>
    </row>
    <row r="23" spans="1:18" x14ac:dyDescent="0.45">
      <c r="A23" t="s">
        <v>17</v>
      </c>
      <c r="B23" t="s">
        <v>18</v>
      </c>
      <c r="C23" t="s">
        <v>81</v>
      </c>
      <c r="D23" t="s">
        <v>82</v>
      </c>
      <c r="Q23"/>
      <c r="R23"/>
    </row>
    <row r="24" spans="1:18" x14ac:dyDescent="0.45">
      <c r="A24">
        <v>1</v>
      </c>
      <c r="B24" t="s">
        <v>83</v>
      </c>
      <c r="C24" t="s">
        <v>84</v>
      </c>
      <c r="D24" t="s">
        <v>85</v>
      </c>
      <c r="Q24"/>
      <c r="R24"/>
    </row>
    <row r="25" spans="1:18" x14ac:dyDescent="0.45">
      <c r="A25">
        <v>2</v>
      </c>
      <c r="B25" t="s">
        <v>86</v>
      </c>
      <c r="C25" t="s">
        <v>87</v>
      </c>
      <c r="Q25"/>
      <c r="R25"/>
    </row>
    <row r="26" spans="1:18" x14ac:dyDescent="0.45">
      <c r="A26">
        <v>3</v>
      </c>
      <c r="Q26"/>
      <c r="R26"/>
    </row>
    <row r="27" spans="1:18" x14ac:dyDescent="0.45">
      <c r="Q27"/>
      <c r="R27"/>
    </row>
    <row r="28" spans="1:18" x14ac:dyDescent="0.45">
      <c r="Q28"/>
      <c r="R28"/>
    </row>
    <row r="29" spans="1:18" x14ac:dyDescent="0.45">
      <c r="A29" t="s">
        <v>88</v>
      </c>
      <c r="Q29"/>
      <c r="R29"/>
    </row>
    <row r="30" spans="1:18" x14ac:dyDescent="0.45">
      <c r="A30" t="s">
        <v>55</v>
      </c>
      <c r="B30" t="s">
        <v>89</v>
      </c>
      <c r="C30" t="s">
        <v>90</v>
      </c>
      <c r="D30" t="s">
        <v>91</v>
      </c>
      <c r="Q30"/>
      <c r="R30"/>
    </row>
    <row r="31" spans="1:18" x14ac:dyDescent="0.45">
      <c r="A31" t="s">
        <v>92</v>
      </c>
      <c r="B31">
        <f>COUNTIF(TaskListTable14_1[Kanban_Status],StatusRatioTable36_1[[#This Row],[Kanban_Status]])</f>
        <v>1</v>
      </c>
      <c r="C31" s="10">
        <f>SUMIF(
  TaskListTable14_1[Kanban_Status],
  StatusRatioTable36_1[[#This Row],[Kanban_Status]],
  TaskListTable14_1[story_point]
)</f>
        <v>3</v>
      </c>
      <c r="D31" s="5">
        <f t="shared" ref="D31:D37" si="0">C31/$C$38</f>
        <v>0.16666666666666666</v>
      </c>
      <c r="Q31"/>
      <c r="R31"/>
    </row>
    <row r="32" spans="1:18" x14ac:dyDescent="0.45">
      <c r="A32" t="s">
        <v>93</v>
      </c>
      <c r="B32">
        <f>COUNTIF(TaskListTable14_1[Kanban_Status],StatusRatioTable36_1[[#This Row],[Kanban_Status]])</f>
        <v>1</v>
      </c>
      <c r="C32" s="10">
        <f>SUMIF(
  TaskListTable14_1[Kanban_Status],
  StatusRatioTable36_1[[#This Row],[Kanban_Status]],
  TaskListTable14_1[story_point]
)</f>
        <v>5</v>
      </c>
      <c r="D32" s="5">
        <f t="shared" si="0"/>
        <v>0.27777777777777779</v>
      </c>
      <c r="Q32"/>
      <c r="R32"/>
    </row>
    <row r="33" spans="1:18" x14ac:dyDescent="0.45">
      <c r="A33" t="s">
        <v>94</v>
      </c>
      <c r="B33">
        <f>COUNTIF(TaskListTable14_1[Kanban_Status],StatusRatioTable36_1[[#This Row],[Kanban_Status]])</f>
        <v>0</v>
      </c>
      <c r="C33" s="10">
        <f>SUMIF(
  TaskListTable14_1[Kanban_Status],
  StatusRatioTable36_1[[#This Row],[Kanban_Status]],
  TaskListTable14_1[story_point]
)</f>
        <v>0</v>
      </c>
      <c r="D33" s="5">
        <f t="shared" si="0"/>
        <v>0</v>
      </c>
      <c r="Q33"/>
      <c r="R33"/>
    </row>
    <row r="34" spans="1:18" x14ac:dyDescent="0.45">
      <c r="A34" t="s">
        <v>95</v>
      </c>
      <c r="B34">
        <f>COUNTIF(TaskListTable14_1[Kanban_Status],StatusRatioTable36_1[[#This Row],[Kanban_Status]])</f>
        <v>2</v>
      </c>
      <c r="C34" s="10">
        <f>SUMIF(
  TaskListTable14_1[Kanban_Status],
  StatusRatioTable36_1[[#This Row],[Kanban_Status]],
  TaskListTable14_1[story_point]
)</f>
        <v>4</v>
      </c>
      <c r="D34" s="5">
        <f t="shared" si="0"/>
        <v>0.22222222222222221</v>
      </c>
      <c r="Q34"/>
      <c r="R34"/>
    </row>
    <row r="35" spans="1:18" x14ac:dyDescent="0.45">
      <c r="A35" t="s">
        <v>96</v>
      </c>
      <c r="B35">
        <f>COUNTIF(TaskListTable14_1[Kanban_Status],StatusRatioTable36_1[[#This Row],[Kanban_Status]])</f>
        <v>1</v>
      </c>
      <c r="C35" s="10">
        <f>SUMIF(
  TaskListTable14_1[Kanban_Status],
  StatusRatioTable36_1[[#This Row],[Kanban_Status]],
  TaskListTable14_1[story_point]
)</f>
        <v>3</v>
      </c>
      <c r="D35" s="5">
        <f t="shared" si="0"/>
        <v>0.16666666666666666</v>
      </c>
      <c r="Q35"/>
      <c r="R35"/>
    </row>
    <row r="36" spans="1:18" x14ac:dyDescent="0.45">
      <c r="A36" t="s">
        <v>97</v>
      </c>
      <c r="B36">
        <f>COUNTIF(TaskListTable14_1[Kanban_Status],StatusRatioTable36_1[[#This Row],[Kanban_Status]])</f>
        <v>0</v>
      </c>
      <c r="C36" s="10">
        <f>SUMIF(
  TaskListTable14_1[Kanban_Status],
  StatusRatioTable36_1[[#This Row],[Kanban_Status]],
  TaskListTable14_1[story_point]
)</f>
        <v>0</v>
      </c>
      <c r="D36" s="5">
        <f t="shared" si="0"/>
        <v>0</v>
      </c>
      <c r="Q36"/>
      <c r="R36"/>
    </row>
    <row r="37" spans="1:18" x14ac:dyDescent="0.45">
      <c r="A37" t="s">
        <v>98</v>
      </c>
      <c r="B37">
        <f>COUNTIF(TaskListTable14_1[Kanban_Status],StatusRatioTable36_1[[#This Row],[Kanban_Status]])</f>
        <v>1</v>
      </c>
      <c r="C37" s="10">
        <f>SUMIF(
  TaskListTable14_1[Kanban_Status],
  StatusRatioTable36_1[[#This Row],[Kanban_Status]],
  TaskListTable14_1[story_point]
)</f>
        <v>3</v>
      </c>
      <c r="D37" s="5">
        <f t="shared" si="0"/>
        <v>0.16666666666666666</v>
      </c>
      <c r="Q37"/>
      <c r="R37"/>
    </row>
    <row r="38" spans="1:18" x14ac:dyDescent="0.45">
      <c r="A38" t="s">
        <v>99</v>
      </c>
      <c r="B38">
        <f>COUNTIF(TaskListTable14_1[Kanban_Status],StatusRatioTable36_1[[#This Row],[Kanban_Status]])</f>
        <v>0</v>
      </c>
      <c r="C38" s="10">
        <f>SUM(C31:C37)</f>
        <v>18</v>
      </c>
      <c r="D38" s="5">
        <f>SUM(D31:D35)</f>
        <v>0.83333333333333326</v>
      </c>
      <c r="Q38"/>
      <c r="R38"/>
    </row>
    <row r="39" spans="1:18" x14ac:dyDescent="0.45">
      <c r="Q39"/>
      <c r="R39"/>
    </row>
    <row r="40" spans="1:18" x14ac:dyDescent="0.45">
      <c r="Q40"/>
      <c r="R40"/>
    </row>
    <row r="41" spans="1:18" x14ac:dyDescent="0.45">
      <c r="Q41"/>
      <c r="R41"/>
    </row>
    <row r="42" spans="1:18" x14ac:dyDescent="0.45">
      <c r="A42" t="s">
        <v>100</v>
      </c>
      <c r="B42" t="s">
        <v>101</v>
      </c>
      <c r="Q42"/>
      <c r="R42"/>
    </row>
    <row r="43" spans="1:18" x14ac:dyDescent="0.45">
      <c r="A43" s="4" t="s">
        <v>17</v>
      </c>
      <c r="B43" s="4" t="s">
        <v>102</v>
      </c>
      <c r="C43" s="4" t="s">
        <v>103</v>
      </c>
      <c r="D43" s="4" t="s">
        <v>4</v>
      </c>
      <c r="E43" s="4" t="s">
        <v>59</v>
      </c>
      <c r="F43" t="s">
        <v>60</v>
      </c>
      <c r="Q43"/>
      <c r="R43"/>
    </row>
    <row r="44" spans="1:18" x14ac:dyDescent="0.45">
      <c r="A44">
        <v>1</v>
      </c>
      <c r="B44" s="8"/>
      <c r="C44" s="8"/>
      <c r="D44" s="8"/>
      <c r="E44" s="8"/>
      <c r="F44" s="8"/>
      <c r="Q44"/>
      <c r="R44"/>
    </row>
    <row r="45" spans="1:18" x14ac:dyDescent="0.45">
      <c r="A45">
        <v>2</v>
      </c>
      <c r="B45" s="8"/>
      <c r="C45" s="8"/>
      <c r="D45" s="8"/>
      <c r="E45" s="8"/>
      <c r="F45" s="8"/>
      <c r="Q45"/>
      <c r="R45"/>
    </row>
    <row r="46" spans="1:18" x14ac:dyDescent="0.45">
      <c r="A46">
        <v>3</v>
      </c>
      <c r="B46" s="8"/>
      <c r="C46" s="8"/>
      <c r="D46" s="8"/>
      <c r="E46" s="8"/>
      <c r="F46" s="8"/>
      <c r="Q46"/>
      <c r="R46"/>
    </row>
    <row r="47" spans="1:18" x14ac:dyDescent="0.45">
      <c r="A47">
        <v>4</v>
      </c>
      <c r="B47" s="8"/>
      <c r="C47" s="8"/>
      <c r="D47" s="8"/>
      <c r="E47" s="8"/>
      <c r="F47" s="8"/>
      <c r="Q47"/>
      <c r="R47"/>
    </row>
    <row r="48" spans="1:18" x14ac:dyDescent="0.45">
      <c r="A48">
        <v>5</v>
      </c>
      <c r="B48" s="8"/>
      <c r="C48" s="8"/>
      <c r="D48" s="8"/>
      <c r="E48" s="8"/>
      <c r="F48" s="8"/>
      <c r="Q48"/>
      <c r="R48"/>
    </row>
    <row r="49" spans="1:18" x14ac:dyDescent="0.45">
      <c r="A49">
        <v>6</v>
      </c>
      <c r="B49" s="8"/>
      <c r="C49" s="8"/>
      <c r="D49" s="8"/>
      <c r="E49" s="8"/>
      <c r="F49" s="8"/>
      <c r="Q49"/>
      <c r="R49"/>
    </row>
    <row r="50" spans="1:18" x14ac:dyDescent="0.45">
      <c r="A50">
        <v>7</v>
      </c>
      <c r="B50" s="8"/>
      <c r="C50" s="8"/>
      <c r="D50" s="8"/>
      <c r="E50" s="8"/>
      <c r="F50" s="8"/>
      <c r="Q50"/>
      <c r="R50"/>
    </row>
    <row r="51" spans="1:18" x14ac:dyDescent="0.45">
      <c r="A51">
        <v>8</v>
      </c>
      <c r="B51" s="8"/>
      <c r="C51" s="8"/>
      <c r="D51" s="8"/>
      <c r="E51" s="8"/>
      <c r="F51" s="8"/>
      <c r="Q51"/>
      <c r="R51"/>
    </row>
    <row r="52" spans="1:18" x14ac:dyDescent="0.45">
      <c r="A52">
        <v>9</v>
      </c>
      <c r="B52" s="8"/>
      <c r="C52" s="8"/>
      <c r="D52" s="8"/>
      <c r="E52" s="8"/>
      <c r="F52" s="8"/>
      <c r="Q52"/>
      <c r="R52"/>
    </row>
    <row r="53" spans="1:18" x14ac:dyDescent="0.45">
      <c r="A53">
        <v>10</v>
      </c>
      <c r="B53" s="8"/>
      <c r="C53" s="8"/>
      <c r="D53" s="8"/>
      <c r="E53" s="8"/>
      <c r="F53" s="8"/>
      <c r="Q53"/>
      <c r="R53"/>
    </row>
    <row r="54" spans="1:18" x14ac:dyDescent="0.45">
      <c r="Q54"/>
      <c r="R54"/>
    </row>
    <row r="55" spans="1:18" x14ac:dyDescent="0.45">
      <c r="L55" s="3"/>
      <c r="Q55"/>
      <c r="R55"/>
    </row>
    <row r="56" spans="1:18" x14ac:dyDescent="0.45">
      <c r="Q56"/>
      <c r="R56"/>
    </row>
    <row r="57" spans="1:18" x14ac:dyDescent="0.45">
      <c r="A57" t="s">
        <v>104</v>
      </c>
      <c r="Q57"/>
      <c r="R57"/>
    </row>
    <row r="58" spans="1:18" x14ac:dyDescent="0.45">
      <c r="A58" t="s">
        <v>17</v>
      </c>
      <c r="B58" t="s">
        <v>52</v>
      </c>
      <c r="C58" t="s">
        <v>53</v>
      </c>
      <c r="D58" t="s">
        <v>4</v>
      </c>
      <c r="E58" t="s">
        <v>11</v>
      </c>
      <c r="F58" t="s">
        <v>54</v>
      </c>
      <c r="G58" t="s">
        <v>59</v>
      </c>
      <c r="H58" t="s">
        <v>60</v>
      </c>
      <c r="I58" t="s">
        <v>55</v>
      </c>
      <c r="J58" t="s">
        <v>56</v>
      </c>
      <c r="K58" t="s">
        <v>57</v>
      </c>
      <c r="L58" t="s">
        <v>58</v>
      </c>
      <c r="M58" t="s">
        <v>61</v>
      </c>
      <c r="N58" t="s">
        <v>63</v>
      </c>
      <c r="O58" t="s">
        <v>64</v>
      </c>
      <c r="P58" t="s">
        <v>62</v>
      </c>
      <c r="Q58"/>
      <c r="R58"/>
    </row>
    <row r="59" spans="1:18" x14ac:dyDescent="0.45">
      <c r="A59">
        <v>1</v>
      </c>
      <c r="B59" t="str">
        <f>VLOOKUP("project_id",ProjectHeaderInfoTalbe37_1[],2,FALSE)&amp;"-"&amp;"T"&amp;TEXT(TaskListTable14_1[[#This Row],[no]],"000")</f>
        <v>PJ-INFRA-26-01-T001</v>
      </c>
      <c r="C59" s="8" t="s">
        <v>447</v>
      </c>
      <c r="D59" s="8" t="s">
        <v>447</v>
      </c>
      <c r="E59" s="8"/>
      <c r="F59" s="8"/>
      <c r="G59" s="9"/>
      <c r="H59" s="9">
        <v>46052</v>
      </c>
      <c r="I59" s="8" t="s">
        <v>92</v>
      </c>
      <c r="J59" s="8"/>
      <c r="K59" s="8">
        <v>3</v>
      </c>
      <c r="L59" s="8"/>
      <c r="M59" s="9">
        <v>45688.874571759261</v>
      </c>
      <c r="N59" s="8"/>
      <c r="O59" s="9"/>
      <c r="P59" t="str">
        <f>IF(TaskListTable14_1[[#This Row],[last_update]]&gt;VLOOKUP("LAST-MTG-DATE",DEF_Parameter!$A$3:$D$102,4,FALSE),"YES","")</f>
        <v/>
      </c>
      <c r="Q59"/>
      <c r="R59"/>
    </row>
    <row r="60" spans="1:18" x14ac:dyDescent="0.45">
      <c r="A60">
        <f t="shared" ref="A60:A123" si="1">A59+1</f>
        <v>2</v>
      </c>
      <c r="B60" t="str">
        <f>VLOOKUP("project_id",ProjectHeaderInfoTalbe37_1[],2,FALSE)&amp;"-"&amp;"T"&amp;TEXT(TaskListTable14_1[[#This Row],[no]],"000")</f>
        <v>PJ-INFRA-26-01-T002</v>
      </c>
      <c r="C60" s="8" t="s">
        <v>447</v>
      </c>
      <c r="D60" s="8" t="s">
        <v>447</v>
      </c>
      <c r="E60" s="8"/>
      <c r="F60" s="8"/>
      <c r="G60" s="9"/>
      <c r="H60" s="9"/>
      <c r="I60" s="8" t="s">
        <v>95</v>
      </c>
      <c r="J60" s="8"/>
      <c r="K60" s="8">
        <v>3</v>
      </c>
      <c r="L60" s="8"/>
      <c r="M60" s="9">
        <v>46053.875671296293</v>
      </c>
      <c r="N60" s="8"/>
      <c r="O60" s="9"/>
      <c r="P60" t="str">
        <f>IF(TaskListTable14_1[[#This Row],[last_update]]&gt;VLOOKUP("LAST-MTG-DATE",DEF_Parameter!$A$3:$D$102,4,FALSE),"YES","")</f>
        <v/>
      </c>
      <c r="Q60"/>
      <c r="R60"/>
    </row>
    <row r="61" spans="1:18" x14ac:dyDescent="0.45">
      <c r="A61">
        <f t="shared" si="1"/>
        <v>3</v>
      </c>
      <c r="B61" t="str">
        <f>VLOOKUP("project_id",ProjectHeaderInfoTalbe37_1[],2,FALSE)&amp;"-"&amp;"T"&amp;TEXT(TaskListTable14_1[[#This Row],[no]],"000")</f>
        <v>PJ-INFRA-26-01-T003</v>
      </c>
      <c r="C61" s="8" t="s">
        <v>447</v>
      </c>
      <c r="D61" s="8" t="s">
        <v>447</v>
      </c>
      <c r="E61" s="8"/>
      <c r="F61" s="8"/>
      <c r="G61" s="9"/>
      <c r="H61" s="9"/>
      <c r="I61" s="8" t="s">
        <v>98</v>
      </c>
      <c r="J61" s="8"/>
      <c r="K61" s="8">
        <v>3</v>
      </c>
      <c r="L61" s="8"/>
      <c r="M61" s="9">
        <v>46053.825624999998</v>
      </c>
      <c r="N61" s="9"/>
      <c r="O61" s="8"/>
      <c r="P61" t="str">
        <f>IF(TaskListTable14_1[[#This Row],[last_update]]&gt;VLOOKUP("LAST-MTG-DATE",DEF_Parameter!$A$3:$D$102,4,FALSE),"YES","")</f>
        <v/>
      </c>
      <c r="Q61"/>
      <c r="R61"/>
    </row>
    <row r="62" spans="1:18" x14ac:dyDescent="0.45">
      <c r="A62">
        <f t="shared" si="1"/>
        <v>4</v>
      </c>
      <c r="B62" t="str">
        <f>VLOOKUP("project_id",ProjectHeaderInfoTalbe37_1[],2,FALSE)&amp;"-"&amp;"T"&amp;TEXT(TaskListTable14_1[[#This Row],[no]],"000")</f>
        <v>PJ-INFRA-26-01-T004</v>
      </c>
      <c r="C62" s="8" t="s">
        <v>447</v>
      </c>
      <c r="D62" s="8" t="s">
        <v>447</v>
      </c>
      <c r="E62" s="8"/>
      <c r="F62" s="8"/>
      <c r="G62" s="9"/>
      <c r="H62" s="9"/>
      <c r="I62" s="8" t="s">
        <v>95</v>
      </c>
      <c r="J62" s="8"/>
      <c r="K62" s="8">
        <v>1</v>
      </c>
      <c r="L62" s="8" t="s">
        <v>105</v>
      </c>
      <c r="M62" s="9">
        <v>46053.825624999998</v>
      </c>
      <c r="N62" s="9"/>
      <c r="O62" s="8"/>
      <c r="P62" t="str">
        <f>IF(TaskListTable14_1[[#This Row],[last_update]]&gt;VLOOKUP("LAST-MTG-DATE",DEF_Parameter!$A$3:$D$102,4,FALSE),"YES","")</f>
        <v/>
      </c>
      <c r="Q62"/>
      <c r="R62"/>
    </row>
    <row r="63" spans="1:18" x14ac:dyDescent="0.45">
      <c r="A63">
        <f t="shared" si="1"/>
        <v>5</v>
      </c>
      <c r="B63" t="str">
        <f>VLOOKUP("project_id",ProjectHeaderInfoTalbe37_1[],2,FALSE)&amp;"-"&amp;"T"&amp;TEXT(TaskListTable14_1[[#This Row],[no]],"000")</f>
        <v>PJ-INFRA-26-01-T005</v>
      </c>
      <c r="C63" s="8" t="s">
        <v>447</v>
      </c>
      <c r="D63" s="8" t="s">
        <v>447</v>
      </c>
      <c r="E63" s="8"/>
      <c r="F63" s="8"/>
      <c r="G63" s="9"/>
      <c r="H63" s="9"/>
      <c r="I63" s="8" t="s">
        <v>96</v>
      </c>
      <c r="J63" s="8"/>
      <c r="K63" s="8">
        <v>3</v>
      </c>
      <c r="L63" s="8"/>
      <c r="M63" s="9">
        <v>46053.825624999998</v>
      </c>
      <c r="N63" s="9"/>
      <c r="O63" s="8"/>
      <c r="P63" t="str">
        <f>IF(TaskListTable14_1[[#This Row],[last_update]]&gt;VLOOKUP("LAST-MTG-DATE",DEF_Parameter!$A$3:$D$102,4,FALSE),"YES","")</f>
        <v/>
      </c>
      <c r="Q63"/>
      <c r="R63"/>
    </row>
    <row r="64" spans="1:18" x14ac:dyDescent="0.45">
      <c r="A64">
        <f t="shared" si="1"/>
        <v>6</v>
      </c>
      <c r="B64" t="str">
        <f>VLOOKUP("project_id",ProjectHeaderInfoTalbe37_1[],2,FALSE)&amp;"-"&amp;"T"&amp;TEXT(TaskListTable14_1[[#This Row],[no]],"000")</f>
        <v>PJ-INFRA-26-01-T006</v>
      </c>
      <c r="C64" s="8" t="s">
        <v>447</v>
      </c>
      <c r="D64" s="8" t="s">
        <v>447</v>
      </c>
      <c r="E64" s="8"/>
      <c r="F64" s="8"/>
      <c r="G64" s="9"/>
      <c r="H64" s="9"/>
      <c r="I64" s="8" t="s">
        <v>93</v>
      </c>
      <c r="J64" s="8"/>
      <c r="K64" s="8">
        <v>5</v>
      </c>
      <c r="L64" s="8"/>
      <c r="M64" s="9">
        <v>46053.825624999998</v>
      </c>
      <c r="N64" s="9"/>
      <c r="O64" s="8"/>
      <c r="P64" t="str">
        <f>IF(TaskListTable14_1[[#This Row],[last_update]]&gt;VLOOKUP("LAST-MTG-DATE",DEF_Parameter!$A$3:$D$102,4,FALSE),"YES","")</f>
        <v/>
      </c>
      <c r="Q64"/>
      <c r="R64"/>
    </row>
    <row r="65" spans="1:18" x14ac:dyDescent="0.45">
      <c r="A65">
        <f t="shared" si="1"/>
        <v>7</v>
      </c>
      <c r="B65" t="str">
        <f>VLOOKUP("project_id",ProjectHeaderInfoTalbe37_1[],2,FALSE)&amp;"-"&amp;"T"&amp;TEXT(TaskListTable14_1[[#This Row],[no]],"000")</f>
        <v>PJ-INFRA-26-01-T007</v>
      </c>
      <c r="C65" s="8" t="s">
        <v>447</v>
      </c>
      <c r="D65" s="8" t="s">
        <v>447</v>
      </c>
      <c r="E65" s="8"/>
      <c r="F65" s="8"/>
      <c r="G65" s="9"/>
      <c r="H65" s="9"/>
      <c r="I65" s="8"/>
      <c r="J65" s="8"/>
      <c r="K65" s="8"/>
      <c r="L65" s="8"/>
      <c r="M65" s="9">
        <v>46053.826018518521</v>
      </c>
      <c r="N65" s="9"/>
      <c r="O65" s="8"/>
      <c r="P65" t="str">
        <f>IF(TaskListTable14_1[[#This Row],[last_update]]&gt;VLOOKUP("LAST-MTG-DATE",DEF_Parameter!$A$3:$D$102,4,FALSE),"YES","")</f>
        <v/>
      </c>
      <c r="Q65"/>
      <c r="R65"/>
    </row>
    <row r="66" spans="1:18" x14ac:dyDescent="0.45">
      <c r="A66">
        <f t="shared" si="1"/>
        <v>8</v>
      </c>
      <c r="B66" t="str">
        <f>VLOOKUP("project_id",ProjectHeaderInfoTalbe37_1[],2,FALSE)&amp;"-"&amp;"T"&amp;TEXT(TaskListTable14_1[[#This Row],[no]],"000")</f>
        <v>PJ-INFRA-26-01-T008</v>
      </c>
      <c r="C66" s="8"/>
      <c r="D66" s="8"/>
      <c r="E66" s="8"/>
      <c r="F66" s="8"/>
      <c r="G66" s="9"/>
      <c r="H66" s="9"/>
      <c r="I66" s="8"/>
      <c r="J66" s="8"/>
      <c r="K66" s="8"/>
      <c r="L66" s="8"/>
      <c r="M66" s="9"/>
      <c r="N66" s="9"/>
      <c r="O66" s="8"/>
      <c r="P66" t="str">
        <f>IF(TaskListTable14_1[[#This Row],[last_update]]&gt;VLOOKUP("LAST-MTG-DATE",DEF_Parameter!$A$3:$D$102,4,FALSE),"YES","")</f>
        <v/>
      </c>
      <c r="Q66"/>
      <c r="R66"/>
    </row>
    <row r="67" spans="1:18" x14ac:dyDescent="0.45">
      <c r="A67">
        <f t="shared" si="1"/>
        <v>9</v>
      </c>
      <c r="B67" t="str">
        <f>VLOOKUP("project_id",ProjectHeaderInfoTalbe37_1[],2,FALSE)&amp;"-"&amp;"T"&amp;TEXT(TaskListTable14_1[[#This Row],[no]],"000")</f>
        <v>PJ-INFRA-26-01-T009</v>
      </c>
      <c r="C67" s="8"/>
      <c r="D67" s="8"/>
      <c r="E67" s="8"/>
      <c r="F67" s="8"/>
      <c r="G67" s="9"/>
      <c r="H67" s="9"/>
      <c r="I67" s="8"/>
      <c r="J67" s="8"/>
      <c r="K67" s="8"/>
      <c r="L67" s="8"/>
      <c r="M67" s="9"/>
      <c r="N67" s="8"/>
      <c r="O67" s="8"/>
      <c r="P67" t="str">
        <f>IF(TaskListTable14_1[[#This Row],[last_update]]&gt;VLOOKUP("LAST-MTG-DATE",DEF_Parameter!$A$3:$D$102,4,FALSE),"YES","")</f>
        <v/>
      </c>
      <c r="Q67"/>
      <c r="R67"/>
    </row>
    <row r="68" spans="1:18" x14ac:dyDescent="0.45">
      <c r="A68">
        <f t="shared" si="1"/>
        <v>10</v>
      </c>
      <c r="B68" t="str">
        <f>VLOOKUP("project_id",ProjectHeaderInfoTalbe37_1[],2,FALSE)&amp;"-"&amp;"T"&amp;TEXT(TaskListTable14_1[[#This Row],[no]],"000")</f>
        <v>PJ-INFRA-26-01-T010</v>
      </c>
      <c r="C68" s="8"/>
      <c r="D68" s="8"/>
      <c r="E68" s="8"/>
      <c r="F68" s="8"/>
      <c r="G68" s="9"/>
      <c r="H68" s="9"/>
      <c r="I68" s="8"/>
      <c r="J68" s="8"/>
      <c r="K68" s="8"/>
      <c r="L68" s="8"/>
      <c r="M68" s="9"/>
      <c r="N68" s="8"/>
      <c r="O68" s="8"/>
      <c r="P68" t="str">
        <f>IF(TaskListTable14_1[[#This Row],[last_update]]&gt;VLOOKUP("LAST-MTG-DATE",DEF_Parameter!$A$3:$D$102,4,FALSE),"YES","")</f>
        <v/>
      </c>
      <c r="Q68"/>
      <c r="R68"/>
    </row>
    <row r="69" spans="1:18" x14ac:dyDescent="0.45">
      <c r="A69">
        <f t="shared" si="1"/>
        <v>11</v>
      </c>
      <c r="B69" t="str">
        <f>VLOOKUP("project_id",ProjectHeaderInfoTalbe37_1[],2,FALSE)&amp;"-"&amp;"T"&amp;TEXT(TaskListTable14_1[[#This Row],[no]],"000")</f>
        <v>PJ-INFRA-26-01-T011</v>
      </c>
      <c r="C69" s="8"/>
      <c r="D69" s="8"/>
      <c r="E69" s="8"/>
      <c r="F69" s="8"/>
      <c r="G69" s="9"/>
      <c r="H69" s="9"/>
      <c r="I69" s="8"/>
      <c r="J69" s="8"/>
      <c r="K69" s="8"/>
      <c r="L69" s="8"/>
      <c r="M69" s="9"/>
      <c r="N69" s="8"/>
      <c r="O69" s="8"/>
      <c r="P69" t="str">
        <f>IF(TaskListTable14_1[[#This Row],[last_update]]&gt;VLOOKUP("LAST-MTG-DATE",DEF_Parameter!$A$3:$D$102,4,FALSE),"YES","")</f>
        <v/>
      </c>
      <c r="Q69"/>
      <c r="R69"/>
    </row>
    <row r="70" spans="1:18" x14ac:dyDescent="0.45">
      <c r="A70">
        <f t="shared" si="1"/>
        <v>12</v>
      </c>
      <c r="B70" t="str">
        <f>VLOOKUP("project_id",ProjectHeaderInfoTalbe37_1[],2,FALSE)&amp;"-"&amp;"T"&amp;TEXT(TaskListTable14_1[[#This Row],[no]],"000")</f>
        <v>PJ-INFRA-26-01-T012</v>
      </c>
      <c r="C70" s="8"/>
      <c r="D70" s="8"/>
      <c r="E70" s="8"/>
      <c r="F70" s="8"/>
      <c r="G70" s="9"/>
      <c r="H70" s="9"/>
      <c r="I70" s="8"/>
      <c r="J70" s="8"/>
      <c r="K70" s="8"/>
      <c r="L70" s="8"/>
      <c r="M70" s="9"/>
      <c r="N70" s="8"/>
      <c r="O70" s="8"/>
      <c r="P70" t="str">
        <f>IF(TaskListTable14_1[[#This Row],[last_update]]&gt;VLOOKUP("LAST-MTG-DATE",DEF_Parameter!$A$3:$D$102,4,FALSE),"YES","")</f>
        <v/>
      </c>
      <c r="Q70"/>
      <c r="R70"/>
    </row>
    <row r="71" spans="1:18" x14ac:dyDescent="0.45">
      <c r="A71">
        <f t="shared" si="1"/>
        <v>13</v>
      </c>
      <c r="B71" t="str">
        <f>VLOOKUP("project_id",ProjectHeaderInfoTalbe37_1[],2,FALSE)&amp;"-"&amp;"T"&amp;TEXT(TaskListTable14_1[[#This Row],[no]],"000")</f>
        <v>PJ-INFRA-26-01-T013</v>
      </c>
      <c r="C71" s="8"/>
      <c r="D71" s="8"/>
      <c r="E71" s="8"/>
      <c r="F71" s="8"/>
      <c r="G71" s="9"/>
      <c r="H71" s="9"/>
      <c r="I71" s="8"/>
      <c r="J71" s="8"/>
      <c r="K71" s="8"/>
      <c r="L71" s="8"/>
      <c r="M71" s="9"/>
      <c r="N71" s="8"/>
      <c r="O71" s="8"/>
      <c r="P71" t="str">
        <f>IF(TaskListTable14_1[[#This Row],[last_update]]&gt;VLOOKUP("LAST-MTG-DATE",DEF_Parameter!$A$3:$D$102,4,FALSE),"YES","")</f>
        <v/>
      </c>
      <c r="Q71"/>
      <c r="R71"/>
    </row>
    <row r="72" spans="1:18" x14ac:dyDescent="0.45">
      <c r="A72">
        <f t="shared" si="1"/>
        <v>14</v>
      </c>
      <c r="B72" t="str">
        <f>VLOOKUP("project_id",ProjectHeaderInfoTalbe37_1[],2,FALSE)&amp;"-"&amp;"T"&amp;TEXT(TaskListTable14_1[[#This Row],[no]],"000")</f>
        <v>PJ-INFRA-26-01-T014</v>
      </c>
      <c r="C72" s="8"/>
      <c r="D72" s="8"/>
      <c r="E72" s="8"/>
      <c r="F72" s="8"/>
      <c r="G72" s="9"/>
      <c r="H72" s="9"/>
      <c r="I72" s="8"/>
      <c r="J72" s="8"/>
      <c r="K72" s="8"/>
      <c r="L72" s="8"/>
      <c r="M72" s="9"/>
      <c r="N72" s="8"/>
      <c r="O72" s="8"/>
      <c r="P72" t="str">
        <f>IF(TaskListTable14_1[[#This Row],[last_update]]&gt;VLOOKUP("LAST-MTG-DATE",DEF_Parameter!$A$3:$D$102,4,FALSE),"YES","")</f>
        <v/>
      </c>
      <c r="Q72"/>
      <c r="R72"/>
    </row>
    <row r="73" spans="1:18" x14ac:dyDescent="0.45">
      <c r="A73">
        <f t="shared" si="1"/>
        <v>15</v>
      </c>
      <c r="B73" t="str">
        <f>VLOOKUP("project_id",ProjectHeaderInfoTalbe37_1[],2,FALSE)&amp;"-"&amp;"T"&amp;TEXT(TaskListTable14_1[[#This Row],[no]],"000")</f>
        <v>PJ-INFRA-26-01-T015</v>
      </c>
      <c r="C73" s="8"/>
      <c r="D73" s="8"/>
      <c r="E73" s="8"/>
      <c r="F73" s="8"/>
      <c r="G73" s="9"/>
      <c r="H73" s="9"/>
      <c r="I73" s="8"/>
      <c r="J73" s="8"/>
      <c r="K73" s="8"/>
      <c r="L73" s="8"/>
      <c r="M73" s="9"/>
      <c r="N73" s="8"/>
      <c r="O73" s="8"/>
      <c r="P73" t="str">
        <f>IF(TaskListTable14_1[[#This Row],[last_update]]&gt;VLOOKUP("LAST-MTG-DATE",DEF_Parameter!$A$3:$D$102,4,FALSE),"YES","")</f>
        <v/>
      </c>
      <c r="Q73"/>
      <c r="R73"/>
    </row>
    <row r="74" spans="1:18" x14ac:dyDescent="0.45">
      <c r="A74">
        <f t="shared" si="1"/>
        <v>16</v>
      </c>
      <c r="B74" t="str">
        <f>VLOOKUP("project_id",ProjectHeaderInfoTalbe37_1[],2,FALSE)&amp;"-"&amp;"T"&amp;TEXT(TaskListTable14_1[[#This Row],[no]],"000")</f>
        <v>PJ-INFRA-26-01-T016</v>
      </c>
      <c r="C74" s="8"/>
      <c r="D74" s="8"/>
      <c r="E74" s="8"/>
      <c r="F74" s="8"/>
      <c r="G74" s="9"/>
      <c r="H74" s="9"/>
      <c r="I74" s="8"/>
      <c r="J74" s="8"/>
      <c r="K74" s="8"/>
      <c r="L74" s="8"/>
      <c r="M74" s="9"/>
      <c r="N74" s="8"/>
      <c r="O74" s="8"/>
      <c r="P74" t="str">
        <f>IF(TaskListTable14_1[[#This Row],[last_update]]&gt;VLOOKUP("LAST-MTG-DATE",DEF_Parameter!$A$3:$D$102,4,FALSE),"YES","")</f>
        <v/>
      </c>
      <c r="Q74"/>
      <c r="R74"/>
    </row>
    <row r="75" spans="1:18" x14ac:dyDescent="0.45">
      <c r="A75">
        <f t="shared" si="1"/>
        <v>17</v>
      </c>
      <c r="B75" t="str">
        <f>VLOOKUP("project_id",ProjectHeaderInfoTalbe37_1[],2,FALSE)&amp;"-"&amp;"T"&amp;TEXT(TaskListTable14_1[[#This Row],[no]],"000")</f>
        <v>PJ-INFRA-26-01-T017</v>
      </c>
      <c r="C75" s="8"/>
      <c r="D75" s="8"/>
      <c r="E75" s="8"/>
      <c r="F75" s="8"/>
      <c r="G75" s="9"/>
      <c r="H75" s="9"/>
      <c r="I75" s="8"/>
      <c r="J75" s="8"/>
      <c r="K75" s="8"/>
      <c r="L75" s="8"/>
      <c r="M75" s="9"/>
      <c r="N75" s="8"/>
      <c r="O75" s="8"/>
      <c r="P75" t="str">
        <f>IF(TaskListTable14_1[[#This Row],[last_update]]&gt;VLOOKUP("LAST-MTG-DATE",DEF_Parameter!$A$3:$D$102,4,FALSE),"YES","")</f>
        <v/>
      </c>
      <c r="Q75"/>
      <c r="R75"/>
    </row>
    <row r="76" spans="1:18" x14ac:dyDescent="0.45">
      <c r="A76">
        <f t="shared" si="1"/>
        <v>18</v>
      </c>
      <c r="B76" t="str">
        <f>VLOOKUP("project_id",ProjectHeaderInfoTalbe37_1[],2,FALSE)&amp;"-"&amp;"T"&amp;TEXT(TaskListTable14_1[[#This Row],[no]],"000")</f>
        <v>PJ-INFRA-26-01-T018</v>
      </c>
      <c r="C76" s="8"/>
      <c r="D76" s="8"/>
      <c r="E76" s="8"/>
      <c r="F76" s="8"/>
      <c r="G76" s="9"/>
      <c r="H76" s="9"/>
      <c r="I76" s="8"/>
      <c r="J76" s="8"/>
      <c r="K76" s="8"/>
      <c r="L76" s="8"/>
      <c r="M76" s="9"/>
      <c r="N76" s="8"/>
      <c r="O76" s="8"/>
      <c r="P76" t="str">
        <f>IF(TaskListTable14_1[[#This Row],[last_update]]&gt;VLOOKUP("LAST-MTG-DATE",DEF_Parameter!$A$3:$D$102,4,FALSE),"YES","")</f>
        <v/>
      </c>
      <c r="Q76"/>
      <c r="R76"/>
    </row>
    <row r="77" spans="1:18" x14ac:dyDescent="0.45">
      <c r="A77">
        <f t="shared" si="1"/>
        <v>19</v>
      </c>
      <c r="B77" t="str">
        <f>VLOOKUP("project_id",ProjectHeaderInfoTalbe37_1[],2,FALSE)&amp;"-"&amp;"T"&amp;TEXT(TaskListTable14_1[[#This Row],[no]],"000")</f>
        <v>PJ-INFRA-26-01-T019</v>
      </c>
      <c r="C77" s="8"/>
      <c r="D77" s="8"/>
      <c r="E77" s="8"/>
      <c r="F77" s="8"/>
      <c r="G77" s="9"/>
      <c r="H77" s="9"/>
      <c r="I77" s="8"/>
      <c r="J77" s="8"/>
      <c r="K77" s="8"/>
      <c r="L77" s="8"/>
      <c r="M77" s="9"/>
      <c r="N77" s="8"/>
      <c r="O77" s="8"/>
      <c r="P77" t="str">
        <f>IF(TaskListTable14_1[[#This Row],[last_update]]&gt;VLOOKUP("LAST-MTG-DATE",DEF_Parameter!$A$3:$D$102,4,FALSE),"YES","")</f>
        <v/>
      </c>
      <c r="Q77"/>
      <c r="R77"/>
    </row>
    <row r="78" spans="1:18" x14ac:dyDescent="0.45">
      <c r="A78">
        <f t="shared" si="1"/>
        <v>20</v>
      </c>
      <c r="B78" t="str">
        <f>VLOOKUP("project_id",ProjectHeaderInfoTalbe37_1[],2,FALSE)&amp;"-"&amp;"T"&amp;TEXT(TaskListTable14_1[[#This Row],[no]],"000")</f>
        <v>PJ-INFRA-26-01-T020</v>
      </c>
      <c r="C78" s="8"/>
      <c r="D78" s="8"/>
      <c r="E78" s="8"/>
      <c r="F78" s="8"/>
      <c r="G78" s="9"/>
      <c r="H78" s="9"/>
      <c r="I78" s="8"/>
      <c r="J78" s="8"/>
      <c r="K78" s="8"/>
      <c r="L78" s="8"/>
      <c r="M78" s="9"/>
      <c r="N78" s="8"/>
      <c r="O78" s="8"/>
      <c r="P78" t="str">
        <f>IF(TaskListTable14_1[[#This Row],[last_update]]&gt;VLOOKUP("LAST-MTG-DATE",DEF_Parameter!$A$3:$D$102,4,FALSE),"YES","")</f>
        <v/>
      </c>
      <c r="Q78"/>
      <c r="R78"/>
    </row>
    <row r="79" spans="1:18" x14ac:dyDescent="0.45">
      <c r="A79">
        <f t="shared" si="1"/>
        <v>21</v>
      </c>
      <c r="B79" t="str">
        <f>VLOOKUP("project_id",ProjectHeaderInfoTalbe37_1[],2,FALSE)&amp;"-"&amp;"T"&amp;TEXT(TaskListTable14_1[[#This Row],[no]],"000")</f>
        <v>PJ-INFRA-26-01-T021</v>
      </c>
      <c r="C79" s="8"/>
      <c r="D79" s="8"/>
      <c r="E79" s="8"/>
      <c r="F79" s="8"/>
      <c r="G79" s="9"/>
      <c r="H79" s="9"/>
      <c r="I79" s="8"/>
      <c r="J79" s="8"/>
      <c r="K79" s="8"/>
      <c r="L79" s="8"/>
      <c r="M79" s="9"/>
      <c r="N79" s="8"/>
      <c r="O79" s="8"/>
      <c r="P79" t="str">
        <f>IF(TaskListTable14_1[[#This Row],[last_update]]&gt;VLOOKUP("LAST-MTG-DATE",DEF_Parameter!$A$3:$D$102,4,FALSE),"YES","")</f>
        <v/>
      </c>
      <c r="Q79"/>
      <c r="R79"/>
    </row>
    <row r="80" spans="1:18" x14ac:dyDescent="0.45">
      <c r="A80">
        <f t="shared" si="1"/>
        <v>22</v>
      </c>
      <c r="B80" t="str">
        <f>VLOOKUP("project_id",ProjectHeaderInfoTalbe37_1[],2,FALSE)&amp;"-"&amp;"T"&amp;TEXT(TaskListTable14_1[[#This Row],[no]],"000")</f>
        <v>PJ-INFRA-26-01-T022</v>
      </c>
      <c r="C80" s="8"/>
      <c r="D80" s="8"/>
      <c r="E80" s="8"/>
      <c r="F80" s="8"/>
      <c r="G80" s="9"/>
      <c r="H80" s="9"/>
      <c r="I80" s="8"/>
      <c r="J80" s="8"/>
      <c r="K80" s="8"/>
      <c r="L80" s="8"/>
      <c r="M80" s="9"/>
      <c r="N80" s="8"/>
      <c r="O80" s="8"/>
      <c r="P80" t="str">
        <f>IF(TaskListTable14_1[[#This Row],[last_update]]&gt;VLOOKUP("LAST-MTG-DATE",DEF_Parameter!$A$3:$D$102,4,FALSE),"YES","")</f>
        <v/>
      </c>
      <c r="Q80"/>
      <c r="R80"/>
    </row>
    <row r="81" spans="1:18" x14ac:dyDescent="0.45">
      <c r="A81">
        <f t="shared" si="1"/>
        <v>23</v>
      </c>
      <c r="B81" t="str">
        <f>VLOOKUP("project_id",ProjectHeaderInfoTalbe37_1[],2,FALSE)&amp;"-"&amp;"T"&amp;TEXT(TaskListTable14_1[[#This Row],[no]],"000")</f>
        <v>PJ-INFRA-26-01-T023</v>
      </c>
      <c r="C81" s="8"/>
      <c r="D81" s="8"/>
      <c r="E81" s="8"/>
      <c r="F81" s="8"/>
      <c r="G81" s="9"/>
      <c r="H81" s="9"/>
      <c r="I81" s="8"/>
      <c r="J81" s="8"/>
      <c r="K81" s="8"/>
      <c r="L81" s="8"/>
      <c r="M81" s="9"/>
      <c r="N81" s="8"/>
      <c r="O81" s="8"/>
      <c r="P81" t="str">
        <f>IF(TaskListTable14_1[[#This Row],[last_update]]&gt;VLOOKUP("LAST-MTG-DATE",DEF_Parameter!$A$3:$D$102,4,FALSE),"YES","")</f>
        <v/>
      </c>
      <c r="Q81"/>
      <c r="R81"/>
    </row>
    <row r="82" spans="1:18" x14ac:dyDescent="0.45">
      <c r="A82">
        <f t="shared" si="1"/>
        <v>24</v>
      </c>
      <c r="B82" t="str">
        <f>VLOOKUP("project_id",ProjectHeaderInfoTalbe37_1[],2,FALSE)&amp;"-"&amp;"T"&amp;TEXT(TaskListTable14_1[[#This Row],[no]],"000")</f>
        <v>PJ-INFRA-26-01-T024</v>
      </c>
      <c r="C82" s="8"/>
      <c r="D82" s="8"/>
      <c r="E82" s="8"/>
      <c r="F82" s="8"/>
      <c r="G82" s="9"/>
      <c r="H82" s="9"/>
      <c r="I82" s="8"/>
      <c r="J82" s="8"/>
      <c r="K82" s="8"/>
      <c r="L82" s="8"/>
      <c r="M82" s="9"/>
      <c r="N82" s="8"/>
      <c r="O82" s="8"/>
      <c r="P82" t="str">
        <f>IF(TaskListTable14_1[[#This Row],[last_update]]&gt;VLOOKUP("LAST-MTG-DATE",DEF_Parameter!$A$3:$D$102,4,FALSE),"YES","")</f>
        <v/>
      </c>
      <c r="Q82"/>
      <c r="R82"/>
    </row>
    <row r="83" spans="1:18" x14ac:dyDescent="0.45">
      <c r="A83">
        <f t="shared" si="1"/>
        <v>25</v>
      </c>
      <c r="B83" t="str">
        <f>VLOOKUP("project_id",ProjectHeaderInfoTalbe37_1[],2,FALSE)&amp;"-"&amp;"T"&amp;TEXT(TaskListTable14_1[[#This Row],[no]],"000")</f>
        <v>PJ-INFRA-26-01-T025</v>
      </c>
      <c r="C83" s="8"/>
      <c r="D83" s="8"/>
      <c r="E83" s="8"/>
      <c r="F83" s="8"/>
      <c r="G83" s="9"/>
      <c r="H83" s="9"/>
      <c r="I83" s="8"/>
      <c r="J83" s="8"/>
      <c r="K83" s="8"/>
      <c r="L83" s="8"/>
      <c r="M83" s="9"/>
      <c r="N83" s="8"/>
      <c r="O83" s="8"/>
      <c r="P83" t="str">
        <f>IF(TaskListTable14_1[[#This Row],[last_update]]&gt;VLOOKUP("LAST-MTG-DATE",DEF_Parameter!$A$3:$D$102,4,FALSE),"YES","")</f>
        <v/>
      </c>
      <c r="Q83"/>
      <c r="R83"/>
    </row>
    <row r="84" spans="1:18" x14ac:dyDescent="0.45">
      <c r="A84">
        <f t="shared" si="1"/>
        <v>26</v>
      </c>
      <c r="B84" t="str">
        <f>VLOOKUP("project_id",ProjectHeaderInfoTalbe37_1[],2,FALSE)&amp;"-"&amp;"T"&amp;TEXT(TaskListTable14_1[[#This Row],[no]],"000")</f>
        <v>PJ-INFRA-26-01-T026</v>
      </c>
      <c r="C84" s="8"/>
      <c r="D84" s="8"/>
      <c r="E84" s="8"/>
      <c r="F84" s="8"/>
      <c r="G84" s="9"/>
      <c r="H84" s="9"/>
      <c r="I84" s="8"/>
      <c r="J84" s="8"/>
      <c r="K84" s="8"/>
      <c r="L84" s="8"/>
      <c r="M84" s="9"/>
      <c r="N84" s="8"/>
      <c r="O84" s="8"/>
      <c r="P84" t="str">
        <f>IF(TaskListTable14_1[[#This Row],[last_update]]&gt;VLOOKUP("LAST-MTG-DATE",DEF_Parameter!$A$3:$D$102,4,FALSE),"YES","")</f>
        <v/>
      </c>
      <c r="Q84"/>
      <c r="R84"/>
    </row>
    <row r="85" spans="1:18" x14ac:dyDescent="0.45">
      <c r="A85">
        <f t="shared" si="1"/>
        <v>27</v>
      </c>
      <c r="B85" t="str">
        <f>VLOOKUP("project_id",ProjectHeaderInfoTalbe37_1[],2,FALSE)&amp;"-"&amp;"T"&amp;TEXT(TaskListTable14_1[[#This Row],[no]],"000")</f>
        <v>PJ-INFRA-26-01-T027</v>
      </c>
      <c r="C85" s="8"/>
      <c r="D85" s="8"/>
      <c r="E85" s="8"/>
      <c r="F85" s="8"/>
      <c r="G85" s="9"/>
      <c r="H85" s="9"/>
      <c r="I85" s="8"/>
      <c r="J85" s="8"/>
      <c r="K85" s="8"/>
      <c r="L85" s="8"/>
      <c r="M85" s="9"/>
      <c r="N85" s="8"/>
      <c r="O85" s="8"/>
      <c r="P85" t="str">
        <f>IF(TaskListTable14_1[[#This Row],[last_update]]&gt;VLOOKUP("LAST-MTG-DATE",DEF_Parameter!$A$3:$D$102,4,FALSE),"YES","")</f>
        <v/>
      </c>
      <c r="Q85"/>
      <c r="R85"/>
    </row>
    <row r="86" spans="1:18" x14ac:dyDescent="0.45">
      <c r="A86">
        <f t="shared" si="1"/>
        <v>28</v>
      </c>
      <c r="B86" t="str">
        <f>VLOOKUP("project_id",ProjectHeaderInfoTalbe37_1[],2,FALSE)&amp;"-"&amp;"T"&amp;TEXT(TaskListTable14_1[[#This Row],[no]],"000")</f>
        <v>PJ-INFRA-26-01-T028</v>
      </c>
      <c r="C86" s="8"/>
      <c r="D86" s="8"/>
      <c r="E86" s="8"/>
      <c r="F86" s="8"/>
      <c r="G86" s="9"/>
      <c r="H86" s="9"/>
      <c r="I86" s="8"/>
      <c r="J86" s="8"/>
      <c r="K86" s="8"/>
      <c r="L86" s="8"/>
      <c r="M86" s="9"/>
      <c r="N86" s="8"/>
      <c r="O86" s="8"/>
      <c r="P86" t="str">
        <f>IF(TaskListTable14_1[[#This Row],[last_update]]&gt;VLOOKUP("LAST-MTG-DATE",DEF_Parameter!$A$3:$D$102,4,FALSE),"YES","")</f>
        <v/>
      </c>
      <c r="Q86"/>
      <c r="R86"/>
    </row>
    <row r="87" spans="1:18" x14ac:dyDescent="0.45">
      <c r="A87">
        <f t="shared" si="1"/>
        <v>29</v>
      </c>
      <c r="B87" t="str">
        <f>VLOOKUP("project_id",ProjectHeaderInfoTalbe37_1[],2,FALSE)&amp;"-"&amp;"T"&amp;TEXT(TaskListTable14_1[[#This Row],[no]],"000")</f>
        <v>PJ-INFRA-26-01-T029</v>
      </c>
      <c r="C87" s="8"/>
      <c r="D87" s="8"/>
      <c r="E87" s="8"/>
      <c r="F87" s="8"/>
      <c r="G87" s="9"/>
      <c r="H87" s="9"/>
      <c r="I87" s="8"/>
      <c r="J87" s="8"/>
      <c r="K87" s="8"/>
      <c r="L87" s="8"/>
      <c r="M87" s="9"/>
      <c r="N87" s="8"/>
      <c r="O87" s="8"/>
      <c r="P87" t="str">
        <f>IF(TaskListTable14_1[[#This Row],[last_update]]&gt;VLOOKUP("LAST-MTG-DATE",DEF_Parameter!$A$3:$D$102,4,FALSE),"YES","")</f>
        <v/>
      </c>
      <c r="Q87"/>
      <c r="R87"/>
    </row>
    <row r="88" spans="1:18" x14ac:dyDescent="0.45">
      <c r="A88">
        <f t="shared" si="1"/>
        <v>30</v>
      </c>
      <c r="B88" t="str">
        <f>VLOOKUP("project_id",ProjectHeaderInfoTalbe37_1[],2,FALSE)&amp;"-"&amp;"T"&amp;TEXT(TaskListTable14_1[[#This Row],[no]],"000")</f>
        <v>PJ-INFRA-26-01-T030</v>
      </c>
      <c r="C88" s="8"/>
      <c r="D88" s="8"/>
      <c r="E88" s="8"/>
      <c r="F88" s="8"/>
      <c r="G88" s="9"/>
      <c r="H88" s="9"/>
      <c r="I88" s="8"/>
      <c r="J88" s="8"/>
      <c r="K88" s="8"/>
      <c r="L88" s="8"/>
      <c r="M88" s="9"/>
      <c r="N88" s="8"/>
      <c r="O88" s="8"/>
      <c r="P88" t="str">
        <f>IF(TaskListTable14_1[[#This Row],[last_update]]&gt;VLOOKUP("LAST-MTG-DATE",DEF_Parameter!$A$3:$D$102,4,FALSE),"YES","")</f>
        <v/>
      </c>
      <c r="Q88"/>
      <c r="R88"/>
    </row>
    <row r="89" spans="1:18" x14ac:dyDescent="0.45">
      <c r="A89">
        <f t="shared" si="1"/>
        <v>31</v>
      </c>
      <c r="B89" t="str">
        <f>VLOOKUP("project_id",ProjectHeaderInfoTalbe37_1[],2,FALSE)&amp;"-"&amp;"T"&amp;TEXT(TaskListTable14_1[[#This Row],[no]],"000")</f>
        <v>PJ-INFRA-26-01-T031</v>
      </c>
      <c r="C89" s="8"/>
      <c r="D89" s="8"/>
      <c r="E89" s="8"/>
      <c r="F89" s="8"/>
      <c r="G89" s="9"/>
      <c r="H89" s="9"/>
      <c r="I89" s="8"/>
      <c r="J89" s="8"/>
      <c r="K89" s="8"/>
      <c r="L89" s="8"/>
      <c r="M89" s="9"/>
      <c r="N89" s="8"/>
      <c r="O89" s="8"/>
      <c r="P89" t="str">
        <f>IF(TaskListTable14_1[[#This Row],[last_update]]&gt;VLOOKUP("LAST-MTG-DATE",DEF_Parameter!$A$3:$D$102,4,FALSE),"YES","")</f>
        <v/>
      </c>
      <c r="Q89"/>
      <c r="R89"/>
    </row>
    <row r="90" spans="1:18" x14ac:dyDescent="0.45">
      <c r="A90">
        <f t="shared" si="1"/>
        <v>32</v>
      </c>
      <c r="B90" t="str">
        <f>VLOOKUP("project_id",ProjectHeaderInfoTalbe37_1[],2,FALSE)&amp;"-"&amp;"T"&amp;TEXT(TaskListTable14_1[[#This Row],[no]],"000")</f>
        <v>PJ-INFRA-26-01-T032</v>
      </c>
      <c r="C90" s="8"/>
      <c r="D90" s="8"/>
      <c r="E90" s="8"/>
      <c r="F90" s="8"/>
      <c r="G90" s="9"/>
      <c r="H90" s="9"/>
      <c r="I90" s="8"/>
      <c r="J90" s="8"/>
      <c r="K90" s="8"/>
      <c r="L90" s="8"/>
      <c r="M90" s="9"/>
      <c r="N90" s="8"/>
      <c r="O90" s="8"/>
      <c r="P90" t="str">
        <f>IF(TaskListTable14_1[[#This Row],[last_update]]&gt;VLOOKUP("LAST-MTG-DATE",DEF_Parameter!$A$3:$D$102,4,FALSE),"YES","")</f>
        <v/>
      </c>
      <c r="Q90"/>
      <c r="R90"/>
    </row>
    <row r="91" spans="1:18" x14ac:dyDescent="0.45">
      <c r="A91">
        <f t="shared" si="1"/>
        <v>33</v>
      </c>
      <c r="B91" t="str">
        <f>VLOOKUP("project_id",ProjectHeaderInfoTalbe37_1[],2,FALSE)&amp;"-"&amp;"T"&amp;TEXT(TaskListTable14_1[[#This Row],[no]],"000")</f>
        <v>PJ-INFRA-26-01-T033</v>
      </c>
      <c r="C91" s="8"/>
      <c r="D91" s="8"/>
      <c r="E91" s="8"/>
      <c r="F91" s="8"/>
      <c r="G91" s="9"/>
      <c r="H91" s="9"/>
      <c r="I91" s="8"/>
      <c r="J91" s="8"/>
      <c r="K91" s="8"/>
      <c r="L91" s="8"/>
      <c r="M91" s="9"/>
      <c r="N91" s="8"/>
      <c r="O91" s="8"/>
      <c r="P91" t="str">
        <f>IF(TaskListTable14_1[[#This Row],[last_update]]&gt;VLOOKUP("LAST-MTG-DATE",DEF_Parameter!$A$3:$D$102,4,FALSE),"YES","")</f>
        <v/>
      </c>
      <c r="Q91"/>
      <c r="R91"/>
    </row>
    <row r="92" spans="1:18" x14ac:dyDescent="0.45">
      <c r="A92">
        <f t="shared" si="1"/>
        <v>34</v>
      </c>
      <c r="B92" t="str">
        <f>VLOOKUP("project_id",ProjectHeaderInfoTalbe37_1[],2,FALSE)&amp;"-"&amp;"T"&amp;TEXT(TaskListTable14_1[[#This Row],[no]],"000")</f>
        <v>PJ-INFRA-26-01-T034</v>
      </c>
      <c r="C92" s="8"/>
      <c r="D92" s="8"/>
      <c r="E92" s="8"/>
      <c r="F92" s="8"/>
      <c r="G92" s="9"/>
      <c r="H92" s="9"/>
      <c r="I92" s="8"/>
      <c r="J92" s="8"/>
      <c r="K92" s="8"/>
      <c r="L92" s="8"/>
      <c r="M92" s="9"/>
      <c r="N92" s="8"/>
      <c r="O92" s="8"/>
      <c r="P92" t="str">
        <f>IF(TaskListTable14_1[[#This Row],[last_update]]&gt;VLOOKUP("LAST-MTG-DATE",DEF_Parameter!$A$3:$D$102,4,FALSE),"YES","")</f>
        <v/>
      </c>
      <c r="Q92"/>
      <c r="R92"/>
    </row>
    <row r="93" spans="1:18" x14ac:dyDescent="0.45">
      <c r="A93">
        <f t="shared" si="1"/>
        <v>35</v>
      </c>
      <c r="B93" t="str">
        <f>VLOOKUP("project_id",ProjectHeaderInfoTalbe37_1[],2,FALSE)&amp;"-"&amp;"T"&amp;TEXT(TaskListTable14_1[[#This Row],[no]],"000")</f>
        <v>PJ-INFRA-26-01-T035</v>
      </c>
      <c r="C93" s="8"/>
      <c r="D93" s="8"/>
      <c r="E93" s="8"/>
      <c r="F93" s="8"/>
      <c r="G93" s="9"/>
      <c r="H93" s="9"/>
      <c r="I93" s="8"/>
      <c r="J93" s="8"/>
      <c r="K93" s="8"/>
      <c r="L93" s="8"/>
      <c r="M93" s="9"/>
      <c r="N93" s="8"/>
      <c r="O93" s="8"/>
      <c r="P93" t="str">
        <f>IF(TaskListTable14_1[[#This Row],[last_update]]&gt;VLOOKUP("LAST-MTG-DATE",DEF_Parameter!$A$3:$D$102,4,FALSE),"YES","")</f>
        <v/>
      </c>
      <c r="Q93"/>
      <c r="R93"/>
    </row>
    <row r="94" spans="1:18" x14ac:dyDescent="0.45">
      <c r="A94">
        <f t="shared" si="1"/>
        <v>36</v>
      </c>
      <c r="B94" t="str">
        <f>VLOOKUP("project_id",ProjectHeaderInfoTalbe37_1[],2,FALSE)&amp;"-"&amp;"T"&amp;TEXT(TaskListTable14_1[[#This Row],[no]],"000")</f>
        <v>PJ-INFRA-26-01-T036</v>
      </c>
      <c r="C94" s="8"/>
      <c r="D94" s="8"/>
      <c r="E94" s="8"/>
      <c r="F94" s="8"/>
      <c r="G94" s="9"/>
      <c r="H94" s="9"/>
      <c r="I94" s="8"/>
      <c r="J94" s="8"/>
      <c r="K94" s="8"/>
      <c r="L94" s="8"/>
      <c r="M94" s="9"/>
      <c r="N94" s="8"/>
      <c r="O94" s="8"/>
      <c r="P94" t="str">
        <f>IF(TaskListTable14_1[[#This Row],[last_update]]&gt;VLOOKUP("LAST-MTG-DATE",DEF_Parameter!$A$3:$D$102,4,FALSE),"YES","")</f>
        <v/>
      </c>
      <c r="Q94"/>
      <c r="R94"/>
    </row>
    <row r="95" spans="1:18" x14ac:dyDescent="0.45">
      <c r="A95">
        <f t="shared" si="1"/>
        <v>37</v>
      </c>
      <c r="B95" t="str">
        <f>VLOOKUP("project_id",ProjectHeaderInfoTalbe37_1[],2,FALSE)&amp;"-"&amp;"T"&amp;TEXT(TaskListTable14_1[[#This Row],[no]],"000")</f>
        <v>PJ-INFRA-26-01-T037</v>
      </c>
      <c r="C95" s="8"/>
      <c r="D95" s="8"/>
      <c r="E95" s="8"/>
      <c r="F95" s="8"/>
      <c r="G95" s="9"/>
      <c r="H95" s="9"/>
      <c r="I95" s="8"/>
      <c r="J95" s="8"/>
      <c r="K95" s="8"/>
      <c r="L95" s="8"/>
      <c r="M95" s="9"/>
      <c r="N95" s="8"/>
      <c r="O95" s="8"/>
      <c r="P95" t="str">
        <f>IF(TaskListTable14_1[[#This Row],[last_update]]&gt;VLOOKUP("LAST-MTG-DATE",DEF_Parameter!$A$3:$D$102,4,FALSE),"YES","")</f>
        <v/>
      </c>
      <c r="Q95"/>
      <c r="R95"/>
    </row>
    <row r="96" spans="1:18" x14ac:dyDescent="0.45">
      <c r="A96">
        <f t="shared" si="1"/>
        <v>38</v>
      </c>
      <c r="B96" t="str">
        <f>VLOOKUP("project_id",ProjectHeaderInfoTalbe37_1[],2,FALSE)&amp;"-"&amp;"T"&amp;TEXT(TaskListTable14_1[[#This Row],[no]],"000")</f>
        <v>PJ-INFRA-26-01-T038</v>
      </c>
      <c r="C96" s="8"/>
      <c r="D96" s="8"/>
      <c r="E96" s="8"/>
      <c r="F96" s="8"/>
      <c r="G96" s="9"/>
      <c r="H96" s="9"/>
      <c r="I96" s="8"/>
      <c r="J96" s="8"/>
      <c r="K96" s="8"/>
      <c r="L96" s="8"/>
      <c r="M96" s="9"/>
      <c r="N96" s="8"/>
      <c r="O96" s="8"/>
      <c r="P96" t="str">
        <f>IF(TaskListTable14_1[[#This Row],[last_update]]&gt;VLOOKUP("LAST-MTG-DATE",DEF_Parameter!$A$3:$D$102,4,FALSE),"YES","")</f>
        <v/>
      </c>
      <c r="Q96"/>
      <c r="R96"/>
    </row>
    <row r="97" spans="1:18" x14ac:dyDescent="0.45">
      <c r="A97">
        <f t="shared" si="1"/>
        <v>39</v>
      </c>
      <c r="B97" t="str">
        <f>VLOOKUP("project_id",ProjectHeaderInfoTalbe37_1[],2,FALSE)&amp;"-"&amp;"T"&amp;TEXT(TaskListTable14_1[[#This Row],[no]],"000")</f>
        <v>PJ-INFRA-26-01-T039</v>
      </c>
      <c r="C97" s="8"/>
      <c r="D97" s="8"/>
      <c r="E97" s="8"/>
      <c r="F97" s="8"/>
      <c r="G97" s="9"/>
      <c r="H97" s="9"/>
      <c r="I97" s="8"/>
      <c r="J97" s="8"/>
      <c r="K97" s="8"/>
      <c r="L97" s="8"/>
      <c r="M97" s="9"/>
      <c r="N97" s="8"/>
      <c r="O97" s="8"/>
      <c r="P97" t="str">
        <f>IF(TaskListTable14_1[[#This Row],[last_update]]&gt;VLOOKUP("LAST-MTG-DATE",DEF_Parameter!$A$3:$D$102,4,FALSE),"YES","")</f>
        <v/>
      </c>
      <c r="Q97"/>
      <c r="R97"/>
    </row>
    <row r="98" spans="1:18" x14ac:dyDescent="0.45">
      <c r="A98">
        <f t="shared" si="1"/>
        <v>40</v>
      </c>
      <c r="B98" t="str">
        <f>VLOOKUP("project_id",ProjectHeaderInfoTalbe37_1[],2,FALSE)&amp;"-"&amp;"T"&amp;TEXT(TaskListTable14_1[[#This Row],[no]],"000")</f>
        <v>PJ-INFRA-26-01-T040</v>
      </c>
      <c r="C98" s="8"/>
      <c r="D98" s="8"/>
      <c r="E98" s="8"/>
      <c r="F98" s="8"/>
      <c r="G98" s="9"/>
      <c r="H98" s="9"/>
      <c r="I98" s="8"/>
      <c r="J98" s="8"/>
      <c r="K98" s="8"/>
      <c r="L98" s="8"/>
      <c r="M98" s="9"/>
      <c r="N98" s="8"/>
      <c r="O98" s="8"/>
      <c r="P98" t="str">
        <f>IF(TaskListTable14_1[[#This Row],[last_update]]&gt;VLOOKUP("LAST-MTG-DATE",DEF_Parameter!$A$3:$D$102,4,FALSE),"YES","")</f>
        <v/>
      </c>
      <c r="Q98"/>
      <c r="R98"/>
    </row>
    <row r="99" spans="1:18" x14ac:dyDescent="0.45">
      <c r="A99">
        <f t="shared" si="1"/>
        <v>41</v>
      </c>
      <c r="B99" t="str">
        <f>VLOOKUP("project_id",ProjectHeaderInfoTalbe37_1[],2,FALSE)&amp;"-"&amp;"T"&amp;TEXT(TaskListTable14_1[[#This Row],[no]],"000")</f>
        <v>PJ-INFRA-26-01-T041</v>
      </c>
      <c r="C99" s="8"/>
      <c r="D99" s="8"/>
      <c r="E99" s="8"/>
      <c r="F99" s="8"/>
      <c r="G99" s="9"/>
      <c r="H99" s="9"/>
      <c r="I99" s="8"/>
      <c r="J99" s="8"/>
      <c r="K99" s="8"/>
      <c r="L99" s="8"/>
      <c r="M99" s="9"/>
      <c r="N99" s="8"/>
      <c r="O99" s="8"/>
      <c r="P99" t="str">
        <f>IF(TaskListTable14_1[[#This Row],[last_update]]&gt;VLOOKUP("LAST-MTG-DATE",DEF_Parameter!$A$3:$D$102,4,FALSE),"YES","")</f>
        <v/>
      </c>
      <c r="Q99"/>
      <c r="R99"/>
    </row>
    <row r="100" spans="1:18" x14ac:dyDescent="0.45">
      <c r="A100">
        <f t="shared" si="1"/>
        <v>42</v>
      </c>
      <c r="B100" t="str">
        <f>VLOOKUP("project_id",ProjectHeaderInfoTalbe37_1[],2,FALSE)&amp;"-"&amp;"T"&amp;TEXT(TaskListTable14_1[[#This Row],[no]],"000")</f>
        <v>PJ-INFRA-26-01-T042</v>
      </c>
      <c r="C100" s="8"/>
      <c r="D100" s="8"/>
      <c r="E100" s="8"/>
      <c r="F100" s="8"/>
      <c r="G100" s="9"/>
      <c r="H100" s="9"/>
      <c r="I100" s="8"/>
      <c r="J100" s="8"/>
      <c r="K100" s="8"/>
      <c r="L100" s="8"/>
      <c r="M100" s="9"/>
      <c r="N100" s="8"/>
      <c r="O100" s="8"/>
      <c r="P100" t="str">
        <f>IF(TaskListTable14_1[[#This Row],[last_update]]&gt;VLOOKUP("LAST-MTG-DATE",DEF_Parameter!$A$3:$D$102,4,FALSE),"YES","")</f>
        <v/>
      </c>
      <c r="Q100"/>
      <c r="R100"/>
    </row>
    <row r="101" spans="1:18" x14ac:dyDescent="0.45">
      <c r="A101">
        <f t="shared" si="1"/>
        <v>43</v>
      </c>
      <c r="B101" t="str">
        <f>VLOOKUP("project_id",ProjectHeaderInfoTalbe37_1[],2,FALSE)&amp;"-"&amp;"T"&amp;TEXT(TaskListTable14_1[[#This Row],[no]],"000")</f>
        <v>PJ-INFRA-26-01-T043</v>
      </c>
      <c r="C101" s="8"/>
      <c r="D101" s="8"/>
      <c r="E101" s="8"/>
      <c r="F101" s="8"/>
      <c r="G101" s="9"/>
      <c r="H101" s="9"/>
      <c r="I101" s="8"/>
      <c r="J101" s="8"/>
      <c r="K101" s="8"/>
      <c r="L101" s="8"/>
      <c r="M101" s="9"/>
      <c r="N101" s="8"/>
      <c r="O101" s="8"/>
      <c r="P101" t="str">
        <f>IF(TaskListTable14_1[[#This Row],[last_update]]&gt;VLOOKUP("LAST-MTG-DATE",DEF_Parameter!$A$3:$D$102,4,FALSE),"YES","")</f>
        <v/>
      </c>
      <c r="Q101"/>
      <c r="R101"/>
    </row>
    <row r="102" spans="1:18" x14ac:dyDescent="0.45">
      <c r="A102">
        <f t="shared" si="1"/>
        <v>44</v>
      </c>
      <c r="B102" t="str">
        <f>VLOOKUP("project_id",ProjectHeaderInfoTalbe37_1[],2,FALSE)&amp;"-"&amp;"T"&amp;TEXT(TaskListTable14_1[[#This Row],[no]],"000")</f>
        <v>PJ-INFRA-26-01-T044</v>
      </c>
      <c r="C102" s="8"/>
      <c r="D102" s="8"/>
      <c r="E102" s="8"/>
      <c r="F102" s="8"/>
      <c r="G102" s="9"/>
      <c r="H102" s="9"/>
      <c r="I102" s="8"/>
      <c r="J102" s="8"/>
      <c r="K102" s="8"/>
      <c r="L102" s="8"/>
      <c r="M102" s="9"/>
      <c r="N102" s="8"/>
      <c r="O102" s="8"/>
      <c r="P102" t="str">
        <f>IF(TaskListTable14_1[[#This Row],[last_update]]&gt;VLOOKUP("LAST-MTG-DATE",DEF_Parameter!$A$3:$D$102,4,FALSE),"YES","")</f>
        <v/>
      </c>
      <c r="Q102"/>
      <c r="R102"/>
    </row>
    <row r="103" spans="1:18" x14ac:dyDescent="0.45">
      <c r="A103">
        <f t="shared" si="1"/>
        <v>45</v>
      </c>
      <c r="B103" t="str">
        <f>VLOOKUP("project_id",ProjectHeaderInfoTalbe37_1[],2,FALSE)&amp;"-"&amp;"T"&amp;TEXT(TaskListTable14_1[[#This Row],[no]],"000")</f>
        <v>PJ-INFRA-26-01-T045</v>
      </c>
      <c r="C103" s="8"/>
      <c r="D103" s="8"/>
      <c r="E103" s="8"/>
      <c r="F103" s="8"/>
      <c r="G103" s="9"/>
      <c r="H103" s="9"/>
      <c r="I103" s="8"/>
      <c r="J103" s="8"/>
      <c r="K103" s="8"/>
      <c r="L103" s="8"/>
      <c r="M103" s="9"/>
      <c r="N103" s="8"/>
      <c r="O103" s="8"/>
      <c r="P103" t="str">
        <f>IF(TaskListTable14_1[[#This Row],[last_update]]&gt;VLOOKUP("LAST-MTG-DATE",DEF_Parameter!$A$3:$D$102,4,FALSE),"YES","")</f>
        <v/>
      </c>
      <c r="Q103"/>
      <c r="R103"/>
    </row>
    <row r="104" spans="1:18" x14ac:dyDescent="0.45">
      <c r="A104">
        <f t="shared" si="1"/>
        <v>46</v>
      </c>
      <c r="B104" t="str">
        <f>VLOOKUP("project_id",ProjectHeaderInfoTalbe37_1[],2,FALSE)&amp;"-"&amp;"T"&amp;TEXT(TaskListTable14_1[[#This Row],[no]],"000")</f>
        <v>PJ-INFRA-26-01-T046</v>
      </c>
      <c r="C104" s="8"/>
      <c r="D104" s="8"/>
      <c r="E104" s="8"/>
      <c r="F104" s="8"/>
      <c r="G104" s="9"/>
      <c r="H104" s="9"/>
      <c r="I104" s="8"/>
      <c r="J104" s="8"/>
      <c r="K104" s="8"/>
      <c r="L104" s="8"/>
      <c r="M104" s="9"/>
      <c r="N104" s="8"/>
      <c r="O104" s="8"/>
      <c r="P104" t="str">
        <f>IF(TaskListTable14_1[[#This Row],[last_update]]&gt;VLOOKUP("LAST-MTG-DATE",DEF_Parameter!$A$3:$D$102,4,FALSE),"YES","")</f>
        <v/>
      </c>
      <c r="Q104"/>
      <c r="R104"/>
    </row>
    <row r="105" spans="1:18" x14ac:dyDescent="0.45">
      <c r="A105">
        <f t="shared" si="1"/>
        <v>47</v>
      </c>
      <c r="B105" t="str">
        <f>VLOOKUP("project_id",ProjectHeaderInfoTalbe37_1[],2,FALSE)&amp;"-"&amp;"T"&amp;TEXT(TaskListTable14_1[[#This Row],[no]],"000")</f>
        <v>PJ-INFRA-26-01-T047</v>
      </c>
      <c r="C105" s="8"/>
      <c r="D105" s="8"/>
      <c r="E105" s="8"/>
      <c r="F105" s="8"/>
      <c r="G105" s="9"/>
      <c r="H105" s="9"/>
      <c r="I105" s="8"/>
      <c r="J105" s="8"/>
      <c r="K105" s="8"/>
      <c r="L105" s="8"/>
      <c r="M105" s="9"/>
      <c r="N105" s="8"/>
      <c r="O105" s="8"/>
      <c r="P105" t="str">
        <f>IF(TaskListTable14_1[[#This Row],[last_update]]&gt;VLOOKUP("LAST-MTG-DATE",DEF_Parameter!$A$3:$D$102,4,FALSE),"YES","")</f>
        <v/>
      </c>
      <c r="Q105"/>
      <c r="R105"/>
    </row>
    <row r="106" spans="1:18" x14ac:dyDescent="0.45">
      <c r="A106">
        <f t="shared" si="1"/>
        <v>48</v>
      </c>
      <c r="B106" t="str">
        <f>VLOOKUP("project_id",ProjectHeaderInfoTalbe37_1[],2,FALSE)&amp;"-"&amp;"T"&amp;TEXT(TaskListTable14_1[[#This Row],[no]],"000")</f>
        <v>PJ-INFRA-26-01-T048</v>
      </c>
      <c r="C106" s="8"/>
      <c r="D106" s="8"/>
      <c r="E106" s="8"/>
      <c r="F106" s="8"/>
      <c r="G106" s="9"/>
      <c r="H106" s="9"/>
      <c r="I106" s="8"/>
      <c r="J106" s="8"/>
      <c r="K106" s="8"/>
      <c r="L106" s="8"/>
      <c r="M106" s="9"/>
      <c r="N106" s="8"/>
      <c r="O106" s="8"/>
      <c r="P106" t="str">
        <f>IF(TaskListTable14_1[[#This Row],[last_update]]&gt;VLOOKUP("LAST-MTG-DATE",DEF_Parameter!$A$3:$D$102,4,FALSE),"YES","")</f>
        <v/>
      </c>
      <c r="Q106"/>
      <c r="R106"/>
    </row>
    <row r="107" spans="1:18" x14ac:dyDescent="0.45">
      <c r="A107">
        <f t="shared" si="1"/>
        <v>49</v>
      </c>
      <c r="B107" t="str">
        <f>VLOOKUP("project_id",ProjectHeaderInfoTalbe37_1[],2,FALSE)&amp;"-"&amp;"T"&amp;TEXT(TaskListTable14_1[[#This Row],[no]],"000")</f>
        <v>PJ-INFRA-26-01-T049</v>
      </c>
      <c r="C107" s="8"/>
      <c r="D107" s="8"/>
      <c r="E107" s="8"/>
      <c r="F107" s="8"/>
      <c r="G107" s="9"/>
      <c r="H107" s="9"/>
      <c r="I107" s="8"/>
      <c r="J107" s="8"/>
      <c r="K107" s="8"/>
      <c r="L107" s="8"/>
      <c r="M107" s="9"/>
      <c r="N107" s="8"/>
      <c r="O107" s="8"/>
      <c r="P107" t="str">
        <f>IF(TaskListTable14_1[[#This Row],[last_update]]&gt;VLOOKUP("LAST-MTG-DATE",DEF_Parameter!$A$3:$D$102,4,FALSE),"YES","")</f>
        <v/>
      </c>
      <c r="Q107"/>
      <c r="R107"/>
    </row>
    <row r="108" spans="1:18" x14ac:dyDescent="0.45">
      <c r="A108">
        <f t="shared" si="1"/>
        <v>50</v>
      </c>
      <c r="B108" t="str">
        <f>VLOOKUP("project_id",ProjectHeaderInfoTalbe37_1[],2,FALSE)&amp;"-"&amp;"T"&amp;TEXT(TaskListTable14_1[[#This Row],[no]],"000")</f>
        <v>PJ-INFRA-26-01-T050</v>
      </c>
      <c r="C108" s="8"/>
      <c r="D108" s="8"/>
      <c r="E108" s="8"/>
      <c r="F108" s="8"/>
      <c r="G108" s="9"/>
      <c r="H108" s="9"/>
      <c r="I108" s="8"/>
      <c r="J108" s="8"/>
      <c r="K108" s="8"/>
      <c r="L108" s="8"/>
      <c r="M108" s="9"/>
      <c r="N108" s="8"/>
      <c r="O108" s="8"/>
      <c r="P108" t="str">
        <f>IF(TaskListTable14_1[[#This Row],[last_update]]&gt;VLOOKUP("LAST-MTG-DATE",DEF_Parameter!$A$3:$D$102,4,FALSE),"YES","")</f>
        <v/>
      </c>
      <c r="Q108"/>
      <c r="R108"/>
    </row>
    <row r="109" spans="1:18" x14ac:dyDescent="0.45">
      <c r="A109">
        <f t="shared" si="1"/>
        <v>51</v>
      </c>
      <c r="B109" t="str">
        <f>VLOOKUP("project_id",ProjectHeaderInfoTalbe37_1[],2,FALSE)&amp;"-"&amp;"T"&amp;TEXT(TaskListTable14_1[[#This Row],[no]],"000")</f>
        <v>PJ-INFRA-26-01-T051</v>
      </c>
      <c r="C109" s="8"/>
      <c r="D109" s="8"/>
      <c r="E109" s="8"/>
      <c r="F109" s="8"/>
      <c r="G109" s="9"/>
      <c r="H109" s="9"/>
      <c r="I109" s="8"/>
      <c r="J109" s="8"/>
      <c r="K109" s="8"/>
      <c r="L109" s="8"/>
      <c r="M109" s="9"/>
      <c r="N109" s="8"/>
      <c r="O109" s="8"/>
      <c r="P109" t="str">
        <f>IF(TaskListTable14_1[[#This Row],[last_update]]&gt;VLOOKUP("LAST-MTG-DATE",DEF_Parameter!$A$3:$D$102,4,FALSE),"YES","")</f>
        <v/>
      </c>
      <c r="Q109"/>
      <c r="R109"/>
    </row>
    <row r="110" spans="1:18" x14ac:dyDescent="0.45">
      <c r="A110">
        <f t="shared" si="1"/>
        <v>52</v>
      </c>
      <c r="B110" t="str">
        <f>VLOOKUP("project_id",ProjectHeaderInfoTalbe37_1[],2,FALSE)&amp;"-"&amp;"T"&amp;TEXT(TaskListTable14_1[[#This Row],[no]],"000")</f>
        <v>PJ-INFRA-26-01-T052</v>
      </c>
      <c r="C110" s="8"/>
      <c r="D110" s="8"/>
      <c r="E110" s="8"/>
      <c r="F110" s="8"/>
      <c r="G110" s="9"/>
      <c r="H110" s="9"/>
      <c r="I110" s="8"/>
      <c r="J110" s="8"/>
      <c r="K110" s="8"/>
      <c r="L110" s="8"/>
      <c r="M110" s="9"/>
      <c r="N110" s="8"/>
      <c r="O110" s="8"/>
      <c r="P110" t="str">
        <f>IF(TaskListTable14_1[[#This Row],[last_update]]&gt;VLOOKUP("LAST-MTG-DATE",DEF_Parameter!$A$3:$D$102,4,FALSE),"YES","")</f>
        <v/>
      </c>
      <c r="Q110"/>
      <c r="R110"/>
    </row>
    <row r="111" spans="1:18" x14ac:dyDescent="0.45">
      <c r="A111">
        <f t="shared" si="1"/>
        <v>53</v>
      </c>
      <c r="B111" t="str">
        <f>VLOOKUP("project_id",ProjectHeaderInfoTalbe37_1[],2,FALSE)&amp;"-"&amp;"T"&amp;TEXT(TaskListTable14_1[[#This Row],[no]],"000")</f>
        <v>PJ-INFRA-26-01-T053</v>
      </c>
      <c r="C111" s="8"/>
      <c r="D111" s="8"/>
      <c r="E111" s="8"/>
      <c r="F111" s="8"/>
      <c r="G111" s="9"/>
      <c r="H111" s="9"/>
      <c r="I111" s="8"/>
      <c r="J111" s="8"/>
      <c r="K111" s="8"/>
      <c r="L111" s="8"/>
      <c r="M111" s="9"/>
      <c r="N111" s="8"/>
      <c r="O111" s="8"/>
      <c r="P111" t="str">
        <f>IF(TaskListTable14_1[[#This Row],[last_update]]&gt;VLOOKUP("LAST-MTG-DATE",DEF_Parameter!$A$3:$D$102,4,FALSE),"YES","")</f>
        <v/>
      </c>
      <c r="Q111"/>
      <c r="R111"/>
    </row>
    <row r="112" spans="1:18" x14ac:dyDescent="0.45">
      <c r="A112">
        <f t="shared" si="1"/>
        <v>54</v>
      </c>
      <c r="B112" t="str">
        <f>VLOOKUP("project_id",ProjectHeaderInfoTalbe37_1[],2,FALSE)&amp;"-"&amp;"T"&amp;TEXT(TaskListTable14_1[[#This Row],[no]],"000")</f>
        <v>PJ-INFRA-26-01-T054</v>
      </c>
      <c r="C112" s="8"/>
      <c r="D112" s="8"/>
      <c r="E112" s="8"/>
      <c r="F112" s="8"/>
      <c r="G112" s="9"/>
      <c r="H112" s="9"/>
      <c r="I112" s="8"/>
      <c r="J112" s="8"/>
      <c r="K112" s="8"/>
      <c r="L112" s="8"/>
      <c r="M112" s="9"/>
      <c r="N112" s="8"/>
      <c r="O112" s="8"/>
      <c r="P112" t="str">
        <f>IF(TaskListTable14_1[[#This Row],[last_update]]&gt;VLOOKUP("LAST-MTG-DATE",DEF_Parameter!$A$3:$D$102,4,FALSE),"YES","")</f>
        <v/>
      </c>
      <c r="Q112"/>
      <c r="R112"/>
    </row>
    <row r="113" spans="1:18" x14ac:dyDescent="0.45">
      <c r="A113">
        <f t="shared" si="1"/>
        <v>55</v>
      </c>
      <c r="B113" t="str">
        <f>VLOOKUP("project_id",ProjectHeaderInfoTalbe37_1[],2,FALSE)&amp;"-"&amp;"T"&amp;TEXT(TaskListTable14_1[[#This Row],[no]],"000")</f>
        <v>PJ-INFRA-26-01-T055</v>
      </c>
      <c r="C113" s="8"/>
      <c r="D113" s="8"/>
      <c r="E113" s="8"/>
      <c r="F113" s="8"/>
      <c r="G113" s="9"/>
      <c r="H113" s="9"/>
      <c r="I113" s="8"/>
      <c r="J113" s="8"/>
      <c r="K113" s="8"/>
      <c r="L113" s="8"/>
      <c r="M113" s="9"/>
      <c r="N113" s="8"/>
      <c r="O113" s="8"/>
      <c r="P113" t="str">
        <f>IF(TaskListTable14_1[[#This Row],[last_update]]&gt;VLOOKUP("LAST-MTG-DATE",DEF_Parameter!$A$3:$D$102,4,FALSE),"YES","")</f>
        <v/>
      </c>
      <c r="Q113"/>
      <c r="R113"/>
    </row>
    <row r="114" spans="1:18" x14ac:dyDescent="0.45">
      <c r="A114">
        <f t="shared" si="1"/>
        <v>56</v>
      </c>
      <c r="B114" t="str">
        <f>VLOOKUP("project_id",ProjectHeaderInfoTalbe37_1[],2,FALSE)&amp;"-"&amp;"T"&amp;TEXT(TaskListTable14_1[[#This Row],[no]],"000")</f>
        <v>PJ-INFRA-26-01-T056</v>
      </c>
      <c r="C114" s="8"/>
      <c r="D114" s="8"/>
      <c r="E114" s="8"/>
      <c r="F114" s="8"/>
      <c r="G114" s="9"/>
      <c r="H114" s="9"/>
      <c r="I114" s="8"/>
      <c r="J114" s="8"/>
      <c r="K114" s="8"/>
      <c r="L114" s="8"/>
      <c r="M114" s="9"/>
      <c r="N114" s="8"/>
      <c r="O114" s="8"/>
      <c r="P114" t="str">
        <f>IF(TaskListTable14_1[[#This Row],[last_update]]&gt;VLOOKUP("LAST-MTG-DATE",DEF_Parameter!$A$3:$D$102,4,FALSE),"YES","")</f>
        <v/>
      </c>
      <c r="Q114"/>
      <c r="R114"/>
    </row>
    <row r="115" spans="1:18" x14ac:dyDescent="0.45">
      <c r="A115">
        <f t="shared" si="1"/>
        <v>57</v>
      </c>
      <c r="B115" t="str">
        <f>VLOOKUP("project_id",ProjectHeaderInfoTalbe37_1[],2,FALSE)&amp;"-"&amp;"T"&amp;TEXT(TaskListTable14_1[[#This Row],[no]],"000")</f>
        <v>PJ-INFRA-26-01-T057</v>
      </c>
      <c r="C115" s="8"/>
      <c r="D115" s="8"/>
      <c r="E115" s="8"/>
      <c r="F115" s="8"/>
      <c r="G115" s="9"/>
      <c r="H115" s="9"/>
      <c r="I115" s="8"/>
      <c r="J115" s="8"/>
      <c r="K115" s="8"/>
      <c r="L115" s="8"/>
      <c r="M115" s="9"/>
      <c r="N115" s="8"/>
      <c r="O115" s="8"/>
      <c r="P115" t="str">
        <f>IF(TaskListTable14_1[[#This Row],[last_update]]&gt;VLOOKUP("LAST-MTG-DATE",DEF_Parameter!$A$3:$D$102,4,FALSE),"YES","")</f>
        <v/>
      </c>
      <c r="Q115"/>
      <c r="R115"/>
    </row>
    <row r="116" spans="1:18" x14ac:dyDescent="0.45">
      <c r="A116">
        <f t="shared" si="1"/>
        <v>58</v>
      </c>
      <c r="B116" t="str">
        <f>VLOOKUP("project_id",ProjectHeaderInfoTalbe37_1[],2,FALSE)&amp;"-"&amp;"T"&amp;TEXT(TaskListTable14_1[[#This Row],[no]],"000")</f>
        <v>PJ-INFRA-26-01-T058</v>
      </c>
      <c r="C116" s="8"/>
      <c r="D116" s="8"/>
      <c r="E116" s="8"/>
      <c r="F116" s="8"/>
      <c r="G116" s="9"/>
      <c r="H116" s="9"/>
      <c r="I116" s="8"/>
      <c r="J116" s="8"/>
      <c r="K116" s="8"/>
      <c r="L116" s="8"/>
      <c r="M116" s="9"/>
      <c r="N116" s="8"/>
      <c r="O116" s="8"/>
      <c r="P116" t="str">
        <f>IF(TaskListTable14_1[[#This Row],[last_update]]&gt;VLOOKUP("LAST-MTG-DATE",DEF_Parameter!$A$3:$D$102,4,FALSE),"YES","")</f>
        <v/>
      </c>
      <c r="Q116"/>
      <c r="R116"/>
    </row>
    <row r="117" spans="1:18" x14ac:dyDescent="0.45">
      <c r="A117">
        <f t="shared" si="1"/>
        <v>59</v>
      </c>
      <c r="B117" t="str">
        <f>VLOOKUP("project_id",ProjectHeaderInfoTalbe37_1[],2,FALSE)&amp;"-"&amp;"T"&amp;TEXT(TaskListTable14_1[[#This Row],[no]],"000")</f>
        <v>PJ-INFRA-26-01-T059</v>
      </c>
      <c r="C117" s="8"/>
      <c r="D117" s="8"/>
      <c r="E117" s="8"/>
      <c r="F117" s="8"/>
      <c r="G117" s="9"/>
      <c r="H117" s="9"/>
      <c r="I117" s="8"/>
      <c r="J117" s="8"/>
      <c r="K117" s="8"/>
      <c r="L117" s="8"/>
      <c r="M117" s="9"/>
      <c r="N117" s="8"/>
      <c r="O117" s="8"/>
      <c r="P117" t="str">
        <f>IF(TaskListTable14_1[[#This Row],[last_update]]&gt;VLOOKUP("LAST-MTG-DATE",DEF_Parameter!$A$3:$D$102,4,FALSE),"YES","")</f>
        <v/>
      </c>
      <c r="Q117"/>
      <c r="R117"/>
    </row>
    <row r="118" spans="1:18" x14ac:dyDescent="0.45">
      <c r="A118">
        <f t="shared" si="1"/>
        <v>60</v>
      </c>
      <c r="B118" t="str">
        <f>VLOOKUP("project_id",ProjectHeaderInfoTalbe37_1[],2,FALSE)&amp;"-"&amp;"T"&amp;TEXT(TaskListTable14_1[[#This Row],[no]],"000")</f>
        <v>PJ-INFRA-26-01-T060</v>
      </c>
      <c r="C118" s="8"/>
      <c r="D118" s="8"/>
      <c r="E118" s="8"/>
      <c r="F118" s="8"/>
      <c r="G118" s="9"/>
      <c r="H118" s="9"/>
      <c r="I118" s="8"/>
      <c r="J118" s="8"/>
      <c r="K118" s="8"/>
      <c r="L118" s="8"/>
      <c r="M118" s="9"/>
      <c r="N118" s="8"/>
      <c r="O118" s="8"/>
      <c r="P118" t="str">
        <f>IF(TaskListTable14_1[[#This Row],[last_update]]&gt;VLOOKUP("LAST-MTG-DATE",DEF_Parameter!$A$3:$D$102,4,FALSE),"YES","")</f>
        <v/>
      </c>
      <c r="Q118"/>
      <c r="R118"/>
    </row>
    <row r="119" spans="1:18" x14ac:dyDescent="0.45">
      <c r="A119">
        <f t="shared" si="1"/>
        <v>61</v>
      </c>
      <c r="B119" t="str">
        <f>VLOOKUP("project_id",ProjectHeaderInfoTalbe37_1[],2,FALSE)&amp;"-"&amp;"T"&amp;TEXT(TaskListTable14_1[[#This Row],[no]],"000")</f>
        <v>PJ-INFRA-26-01-T061</v>
      </c>
      <c r="C119" s="8"/>
      <c r="D119" s="8"/>
      <c r="E119" s="8"/>
      <c r="F119" s="8"/>
      <c r="G119" s="9"/>
      <c r="H119" s="9"/>
      <c r="I119" s="8"/>
      <c r="J119" s="8"/>
      <c r="K119" s="8"/>
      <c r="L119" s="8"/>
      <c r="M119" s="9"/>
      <c r="N119" s="8"/>
      <c r="O119" s="8"/>
      <c r="P119" t="str">
        <f>IF(TaskListTable14_1[[#This Row],[last_update]]&gt;VLOOKUP("LAST-MTG-DATE",DEF_Parameter!$A$3:$D$102,4,FALSE),"YES","")</f>
        <v/>
      </c>
      <c r="Q119"/>
      <c r="R119"/>
    </row>
    <row r="120" spans="1:18" x14ac:dyDescent="0.45">
      <c r="A120">
        <f t="shared" si="1"/>
        <v>62</v>
      </c>
      <c r="B120" t="str">
        <f>VLOOKUP("project_id",ProjectHeaderInfoTalbe37_1[],2,FALSE)&amp;"-"&amp;"T"&amp;TEXT(TaskListTable14_1[[#This Row],[no]],"000")</f>
        <v>PJ-INFRA-26-01-T062</v>
      </c>
      <c r="C120" s="8"/>
      <c r="D120" s="8"/>
      <c r="E120" s="8"/>
      <c r="F120" s="8"/>
      <c r="G120" s="9"/>
      <c r="H120" s="9"/>
      <c r="I120" s="8"/>
      <c r="J120" s="8"/>
      <c r="K120" s="8"/>
      <c r="L120" s="8"/>
      <c r="M120" s="9"/>
      <c r="N120" s="8"/>
      <c r="O120" s="8"/>
      <c r="P120" t="str">
        <f>IF(TaskListTable14_1[[#This Row],[last_update]]&gt;VLOOKUP("LAST-MTG-DATE",DEF_Parameter!$A$3:$D$102,4,FALSE),"YES","")</f>
        <v/>
      </c>
      <c r="Q120"/>
      <c r="R120"/>
    </row>
    <row r="121" spans="1:18" x14ac:dyDescent="0.45">
      <c r="A121">
        <f t="shared" si="1"/>
        <v>63</v>
      </c>
      <c r="B121" t="str">
        <f>VLOOKUP("project_id",ProjectHeaderInfoTalbe37_1[],2,FALSE)&amp;"-"&amp;"T"&amp;TEXT(TaskListTable14_1[[#This Row],[no]],"000")</f>
        <v>PJ-INFRA-26-01-T063</v>
      </c>
      <c r="C121" s="8"/>
      <c r="D121" s="8"/>
      <c r="E121" s="8"/>
      <c r="F121" s="8"/>
      <c r="G121" s="9"/>
      <c r="H121" s="9"/>
      <c r="I121" s="8"/>
      <c r="J121" s="8"/>
      <c r="K121" s="8"/>
      <c r="L121" s="8"/>
      <c r="M121" s="9"/>
      <c r="N121" s="8"/>
      <c r="O121" s="8"/>
      <c r="P121" t="str">
        <f>IF(TaskListTable14_1[[#This Row],[last_update]]&gt;VLOOKUP("LAST-MTG-DATE",DEF_Parameter!$A$3:$D$102,4,FALSE),"YES","")</f>
        <v/>
      </c>
      <c r="Q121"/>
      <c r="R121"/>
    </row>
    <row r="122" spans="1:18" x14ac:dyDescent="0.45">
      <c r="A122">
        <f t="shared" si="1"/>
        <v>64</v>
      </c>
      <c r="B122" t="str">
        <f>VLOOKUP("project_id",ProjectHeaderInfoTalbe37_1[],2,FALSE)&amp;"-"&amp;"T"&amp;TEXT(TaskListTable14_1[[#This Row],[no]],"000")</f>
        <v>PJ-INFRA-26-01-T064</v>
      </c>
      <c r="C122" s="8"/>
      <c r="D122" s="8"/>
      <c r="E122" s="8"/>
      <c r="F122" s="8"/>
      <c r="G122" s="9"/>
      <c r="H122" s="9"/>
      <c r="I122" s="8"/>
      <c r="J122" s="8"/>
      <c r="K122" s="8"/>
      <c r="L122" s="8"/>
      <c r="M122" s="9"/>
      <c r="N122" s="8"/>
      <c r="O122" s="8"/>
      <c r="P122" t="str">
        <f>IF(TaskListTable14_1[[#This Row],[last_update]]&gt;VLOOKUP("LAST-MTG-DATE",DEF_Parameter!$A$3:$D$102,4,FALSE),"YES","")</f>
        <v/>
      </c>
      <c r="Q122"/>
      <c r="R122"/>
    </row>
    <row r="123" spans="1:18" x14ac:dyDescent="0.45">
      <c r="A123">
        <f t="shared" si="1"/>
        <v>65</v>
      </c>
      <c r="B123" t="str">
        <f>VLOOKUP("project_id",ProjectHeaderInfoTalbe37_1[],2,FALSE)&amp;"-"&amp;"T"&amp;TEXT(TaskListTable14_1[[#This Row],[no]],"000")</f>
        <v>PJ-INFRA-26-01-T065</v>
      </c>
      <c r="C123" s="8"/>
      <c r="D123" s="8"/>
      <c r="E123" s="8"/>
      <c r="F123" s="8"/>
      <c r="G123" s="9"/>
      <c r="H123" s="9"/>
      <c r="I123" s="8"/>
      <c r="J123" s="8"/>
      <c r="K123" s="8"/>
      <c r="L123" s="8"/>
      <c r="M123" s="9"/>
      <c r="N123" s="8"/>
      <c r="O123" s="8"/>
      <c r="P123" t="str">
        <f>IF(TaskListTable14_1[[#This Row],[last_update]]&gt;VLOOKUP("LAST-MTG-DATE",DEF_Parameter!$A$3:$D$102,4,FALSE),"YES","")</f>
        <v/>
      </c>
      <c r="Q123"/>
      <c r="R123"/>
    </row>
    <row r="124" spans="1:18" x14ac:dyDescent="0.45">
      <c r="A124">
        <f t="shared" ref="A124:A187" si="2">A123+1</f>
        <v>66</v>
      </c>
      <c r="B124" t="str">
        <f>VLOOKUP("project_id",ProjectHeaderInfoTalbe37_1[],2,FALSE)&amp;"-"&amp;"T"&amp;TEXT(TaskListTable14_1[[#This Row],[no]],"000")</f>
        <v>PJ-INFRA-26-01-T066</v>
      </c>
      <c r="C124" s="8"/>
      <c r="D124" s="8"/>
      <c r="E124" s="8"/>
      <c r="F124" s="8"/>
      <c r="G124" s="9"/>
      <c r="H124" s="9"/>
      <c r="I124" s="8"/>
      <c r="J124" s="8"/>
      <c r="K124" s="8"/>
      <c r="L124" s="8"/>
      <c r="M124" s="9"/>
      <c r="N124" s="8"/>
      <c r="O124" s="8"/>
      <c r="P124" t="str">
        <f>IF(TaskListTable14_1[[#This Row],[last_update]]&gt;VLOOKUP("LAST-MTG-DATE",DEF_Parameter!$A$3:$D$102,4,FALSE),"YES","")</f>
        <v/>
      </c>
      <c r="Q124"/>
      <c r="R124"/>
    </row>
    <row r="125" spans="1:18" x14ac:dyDescent="0.45">
      <c r="A125">
        <f t="shared" si="2"/>
        <v>67</v>
      </c>
      <c r="B125" t="str">
        <f>VLOOKUP("project_id",ProjectHeaderInfoTalbe37_1[],2,FALSE)&amp;"-"&amp;"T"&amp;TEXT(TaskListTable14_1[[#This Row],[no]],"000")</f>
        <v>PJ-INFRA-26-01-T067</v>
      </c>
      <c r="C125" s="8"/>
      <c r="D125" s="8"/>
      <c r="E125" s="8"/>
      <c r="F125" s="8"/>
      <c r="G125" s="9"/>
      <c r="H125" s="9"/>
      <c r="I125" s="8"/>
      <c r="J125" s="8"/>
      <c r="K125" s="8"/>
      <c r="L125" s="8"/>
      <c r="M125" s="9"/>
      <c r="N125" s="8"/>
      <c r="O125" s="8"/>
      <c r="P125" t="str">
        <f>IF(TaskListTable14_1[[#This Row],[last_update]]&gt;VLOOKUP("LAST-MTG-DATE",DEF_Parameter!$A$3:$D$102,4,FALSE),"YES","")</f>
        <v/>
      </c>
      <c r="Q125"/>
      <c r="R125"/>
    </row>
    <row r="126" spans="1:18" x14ac:dyDescent="0.45">
      <c r="A126">
        <f t="shared" si="2"/>
        <v>68</v>
      </c>
      <c r="B126" t="str">
        <f>VLOOKUP("project_id",ProjectHeaderInfoTalbe37_1[],2,FALSE)&amp;"-"&amp;"T"&amp;TEXT(TaskListTable14_1[[#This Row],[no]],"000")</f>
        <v>PJ-INFRA-26-01-T068</v>
      </c>
      <c r="C126" s="8"/>
      <c r="D126" s="8"/>
      <c r="E126" s="8"/>
      <c r="F126" s="8"/>
      <c r="G126" s="9"/>
      <c r="H126" s="9"/>
      <c r="I126" s="8"/>
      <c r="J126" s="8"/>
      <c r="K126" s="8"/>
      <c r="L126" s="8"/>
      <c r="M126" s="9"/>
      <c r="N126" s="8"/>
      <c r="O126" s="8"/>
      <c r="P126" t="str">
        <f>IF(TaskListTable14_1[[#This Row],[last_update]]&gt;VLOOKUP("LAST-MTG-DATE",DEF_Parameter!$A$3:$D$102,4,FALSE),"YES","")</f>
        <v/>
      </c>
      <c r="Q126"/>
      <c r="R126"/>
    </row>
    <row r="127" spans="1:18" x14ac:dyDescent="0.45">
      <c r="A127">
        <f t="shared" si="2"/>
        <v>69</v>
      </c>
      <c r="B127" t="str">
        <f>VLOOKUP("project_id",ProjectHeaderInfoTalbe37_1[],2,FALSE)&amp;"-"&amp;"T"&amp;TEXT(TaskListTable14_1[[#This Row],[no]],"000")</f>
        <v>PJ-INFRA-26-01-T069</v>
      </c>
      <c r="C127" s="8"/>
      <c r="D127" s="8"/>
      <c r="E127" s="8"/>
      <c r="F127" s="8"/>
      <c r="G127" s="9"/>
      <c r="H127" s="9"/>
      <c r="I127" s="8"/>
      <c r="J127" s="8"/>
      <c r="K127" s="8"/>
      <c r="L127" s="8"/>
      <c r="M127" s="9"/>
      <c r="N127" s="8"/>
      <c r="O127" s="8"/>
      <c r="P127" t="str">
        <f>IF(TaskListTable14_1[[#This Row],[last_update]]&gt;VLOOKUP("LAST-MTG-DATE",DEF_Parameter!$A$3:$D$102,4,FALSE),"YES","")</f>
        <v/>
      </c>
      <c r="Q127"/>
      <c r="R127"/>
    </row>
    <row r="128" spans="1:18" x14ac:dyDescent="0.45">
      <c r="A128">
        <f t="shared" si="2"/>
        <v>70</v>
      </c>
      <c r="B128" t="str">
        <f>VLOOKUP("project_id",ProjectHeaderInfoTalbe37_1[],2,FALSE)&amp;"-"&amp;"T"&amp;TEXT(TaskListTable14_1[[#This Row],[no]],"000")</f>
        <v>PJ-INFRA-26-01-T070</v>
      </c>
      <c r="C128" s="8"/>
      <c r="D128" s="8"/>
      <c r="E128" s="8"/>
      <c r="F128" s="8"/>
      <c r="G128" s="9"/>
      <c r="H128" s="9"/>
      <c r="I128" s="8"/>
      <c r="J128" s="8"/>
      <c r="K128" s="8"/>
      <c r="L128" s="8"/>
      <c r="M128" s="9"/>
      <c r="N128" s="8"/>
      <c r="O128" s="8"/>
      <c r="P128" t="str">
        <f>IF(TaskListTable14_1[[#This Row],[last_update]]&gt;VLOOKUP("LAST-MTG-DATE",DEF_Parameter!$A$3:$D$102,4,FALSE),"YES","")</f>
        <v/>
      </c>
      <c r="Q128"/>
      <c r="R128"/>
    </row>
    <row r="129" spans="1:18" x14ac:dyDescent="0.45">
      <c r="A129">
        <f t="shared" si="2"/>
        <v>71</v>
      </c>
      <c r="B129" t="str">
        <f>VLOOKUP("project_id",ProjectHeaderInfoTalbe37_1[],2,FALSE)&amp;"-"&amp;"T"&amp;TEXT(TaskListTable14_1[[#This Row],[no]],"000")</f>
        <v>PJ-INFRA-26-01-T071</v>
      </c>
      <c r="C129" s="8"/>
      <c r="D129" s="8"/>
      <c r="E129" s="8"/>
      <c r="F129" s="8"/>
      <c r="G129" s="9"/>
      <c r="H129" s="9"/>
      <c r="I129" s="8"/>
      <c r="J129" s="8"/>
      <c r="K129" s="8"/>
      <c r="L129" s="8"/>
      <c r="M129" s="9"/>
      <c r="N129" s="8"/>
      <c r="O129" s="8"/>
      <c r="P129" t="str">
        <f>IF(TaskListTable14_1[[#This Row],[last_update]]&gt;VLOOKUP("LAST-MTG-DATE",DEF_Parameter!$A$3:$D$102,4,FALSE),"YES","")</f>
        <v/>
      </c>
      <c r="Q129"/>
      <c r="R129"/>
    </row>
    <row r="130" spans="1:18" x14ac:dyDescent="0.45">
      <c r="A130">
        <f t="shared" si="2"/>
        <v>72</v>
      </c>
      <c r="B130" t="str">
        <f>VLOOKUP("project_id",ProjectHeaderInfoTalbe37_1[],2,FALSE)&amp;"-"&amp;"T"&amp;TEXT(TaskListTable14_1[[#This Row],[no]],"000")</f>
        <v>PJ-INFRA-26-01-T072</v>
      </c>
      <c r="C130" s="8"/>
      <c r="D130" s="8"/>
      <c r="E130" s="8"/>
      <c r="F130" s="8"/>
      <c r="G130" s="9"/>
      <c r="H130" s="9"/>
      <c r="I130" s="8"/>
      <c r="J130" s="8"/>
      <c r="K130" s="8"/>
      <c r="L130" s="8"/>
      <c r="M130" s="9"/>
      <c r="N130" s="8"/>
      <c r="O130" s="8"/>
      <c r="P130" t="str">
        <f>IF(TaskListTable14_1[[#This Row],[last_update]]&gt;VLOOKUP("LAST-MTG-DATE",DEF_Parameter!$A$3:$D$102,4,FALSE),"YES","")</f>
        <v/>
      </c>
      <c r="Q130"/>
      <c r="R130"/>
    </row>
    <row r="131" spans="1:18" x14ac:dyDescent="0.45">
      <c r="A131">
        <f t="shared" si="2"/>
        <v>73</v>
      </c>
      <c r="B131" t="str">
        <f>VLOOKUP("project_id",ProjectHeaderInfoTalbe37_1[],2,FALSE)&amp;"-"&amp;"T"&amp;TEXT(TaskListTable14_1[[#This Row],[no]],"000")</f>
        <v>PJ-INFRA-26-01-T073</v>
      </c>
      <c r="C131" s="8"/>
      <c r="D131" s="8"/>
      <c r="E131" s="8"/>
      <c r="F131" s="8"/>
      <c r="G131" s="9"/>
      <c r="H131" s="9"/>
      <c r="I131" s="8"/>
      <c r="J131" s="8"/>
      <c r="K131" s="8"/>
      <c r="L131" s="8"/>
      <c r="M131" s="9"/>
      <c r="N131" s="8"/>
      <c r="O131" s="8"/>
      <c r="P131" t="str">
        <f>IF(TaskListTable14_1[[#This Row],[last_update]]&gt;VLOOKUP("LAST-MTG-DATE",DEF_Parameter!$A$3:$D$102,4,FALSE),"YES","")</f>
        <v/>
      </c>
      <c r="Q131"/>
      <c r="R131"/>
    </row>
    <row r="132" spans="1:18" x14ac:dyDescent="0.45">
      <c r="A132">
        <f t="shared" si="2"/>
        <v>74</v>
      </c>
      <c r="B132" t="str">
        <f>VLOOKUP("project_id",ProjectHeaderInfoTalbe37_1[],2,FALSE)&amp;"-"&amp;"T"&amp;TEXT(TaskListTable14_1[[#This Row],[no]],"000")</f>
        <v>PJ-INFRA-26-01-T074</v>
      </c>
      <c r="C132" s="8"/>
      <c r="D132" s="8"/>
      <c r="E132" s="8"/>
      <c r="F132" s="8"/>
      <c r="G132" s="9"/>
      <c r="H132" s="9"/>
      <c r="I132" s="8"/>
      <c r="J132" s="8"/>
      <c r="K132" s="8"/>
      <c r="L132" s="8"/>
      <c r="M132" s="9"/>
      <c r="N132" s="8"/>
      <c r="O132" s="8"/>
      <c r="P132" t="str">
        <f>IF(TaskListTable14_1[[#This Row],[last_update]]&gt;VLOOKUP("LAST-MTG-DATE",DEF_Parameter!$A$3:$D$102,4,FALSE),"YES","")</f>
        <v/>
      </c>
      <c r="Q132"/>
      <c r="R132"/>
    </row>
    <row r="133" spans="1:18" x14ac:dyDescent="0.45">
      <c r="A133">
        <f t="shared" si="2"/>
        <v>75</v>
      </c>
      <c r="B133" t="str">
        <f>VLOOKUP("project_id",ProjectHeaderInfoTalbe37_1[],2,FALSE)&amp;"-"&amp;"T"&amp;TEXT(TaskListTable14_1[[#This Row],[no]],"000")</f>
        <v>PJ-INFRA-26-01-T075</v>
      </c>
      <c r="C133" s="8"/>
      <c r="D133" s="8"/>
      <c r="E133" s="8"/>
      <c r="F133" s="8"/>
      <c r="G133" s="9"/>
      <c r="H133" s="9"/>
      <c r="I133" s="8"/>
      <c r="J133" s="8"/>
      <c r="K133" s="8"/>
      <c r="L133" s="8"/>
      <c r="M133" s="9"/>
      <c r="N133" s="8"/>
      <c r="O133" s="8"/>
      <c r="P133" t="str">
        <f>IF(TaskListTable14_1[[#This Row],[last_update]]&gt;VLOOKUP("LAST-MTG-DATE",DEF_Parameter!$A$3:$D$102,4,FALSE),"YES","")</f>
        <v/>
      </c>
      <c r="Q133"/>
      <c r="R133"/>
    </row>
    <row r="134" spans="1:18" x14ac:dyDescent="0.45">
      <c r="A134">
        <f t="shared" si="2"/>
        <v>76</v>
      </c>
      <c r="B134" t="str">
        <f>VLOOKUP("project_id",ProjectHeaderInfoTalbe37_1[],2,FALSE)&amp;"-"&amp;"T"&amp;TEXT(TaskListTable14_1[[#This Row],[no]],"000")</f>
        <v>PJ-INFRA-26-01-T076</v>
      </c>
      <c r="C134" s="8"/>
      <c r="D134" s="8"/>
      <c r="E134" s="8"/>
      <c r="F134" s="8"/>
      <c r="G134" s="9"/>
      <c r="H134" s="9"/>
      <c r="I134" s="8"/>
      <c r="J134" s="8"/>
      <c r="K134" s="8"/>
      <c r="L134" s="8"/>
      <c r="M134" s="9"/>
      <c r="N134" s="8"/>
      <c r="O134" s="8"/>
      <c r="P134" t="str">
        <f>IF(TaskListTable14_1[[#This Row],[last_update]]&gt;VLOOKUP("LAST-MTG-DATE",DEF_Parameter!$A$3:$D$102,4,FALSE),"YES","")</f>
        <v/>
      </c>
      <c r="Q134"/>
      <c r="R134"/>
    </row>
    <row r="135" spans="1:18" x14ac:dyDescent="0.45">
      <c r="A135">
        <f t="shared" si="2"/>
        <v>77</v>
      </c>
      <c r="B135" t="str">
        <f>VLOOKUP("project_id",ProjectHeaderInfoTalbe37_1[],2,FALSE)&amp;"-"&amp;"T"&amp;TEXT(TaskListTable14_1[[#This Row],[no]],"000")</f>
        <v>PJ-INFRA-26-01-T077</v>
      </c>
      <c r="C135" s="8"/>
      <c r="D135" s="8"/>
      <c r="E135" s="8"/>
      <c r="F135" s="8"/>
      <c r="G135" s="9"/>
      <c r="H135" s="9"/>
      <c r="I135" s="8"/>
      <c r="J135" s="8"/>
      <c r="K135" s="8"/>
      <c r="L135" s="8"/>
      <c r="M135" s="9"/>
      <c r="N135" s="8"/>
      <c r="O135" s="8"/>
      <c r="P135" t="str">
        <f>IF(TaskListTable14_1[[#This Row],[last_update]]&gt;VLOOKUP("LAST-MTG-DATE",DEF_Parameter!$A$3:$D$102,4,FALSE),"YES","")</f>
        <v/>
      </c>
      <c r="Q135"/>
      <c r="R135"/>
    </row>
    <row r="136" spans="1:18" x14ac:dyDescent="0.45">
      <c r="A136">
        <f t="shared" si="2"/>
        <v>78</v>
      </c>
      <c r="B136" t="str">
        <f>VLOOKUP("project_id",ProjectHeaderInfoTalbe37_1[],2,FALSE)&amp;"-"&amp;"T"&amp;TEXT(TaskListTable14_1[[#This Row],[no]],"000")</f>
        <v>PJ-INFRA-26-01-T078</v>
      </c>
      <c r="C136" s="8"/>
      <c r="D136" s="8"/>
      <c r="E136" s="8"/>
      <c r="F136" s="8"/>
      <c r="G136" s="9"/>
      <c r="H136" s="9"/>
      <c r="I136" s="8"/>
      <c r="J136" s="8"/>
      <c r="K136" s="8"/>
      <c r="L136" s="8"/>
      <c r="M136" s="9"/>
      <c r="N136" s="8"/>
      <c r="O136" s="8"/>
      <c r="P136" t="str">
        <f>IF(TaskListTable14_1[[#This Row],[last_update]]&gt;VLOOKUP("LAST-MTG-DATE",DEF_Parameter!$A$3:$D$102,4,FALSE),"YES","")</f>
        <v/>
      </c>
      <c r="Q136"/>
      <c r="R136"/>
    </row>
    <row r="137" spans="1:18" x14ac:dyDescent="0.45">
      <c r="A137">
        <f t="shared" si="2"/>
        <v>79</v>
      </c>
      <c r="B137" t="str">
        <f>VLOOKUP("project_id",ProjectHeaderInfoTalbe37_1[],2,FALSE)&amp;"-"&amp;"T"&amp;TEXT(TaskListTable14_1[[#This Row],[no]],"000")</f>
        <v>PJ-INFRA-26-01-T079</v>
      </c>
      <c r="C137" s="8"/>
      <c r="D137" s="8"/>
      <c r="E137" s="8"/>
      <c r="F137" s="8"/>
      <c r="G137" s="9"/>
      <c r="H137" s="9"/>
      <c r="I137" s="8"/>
      <c r="J137" s="8"/>
      <c r="K137" s="8"/>
      <c r="L137" s="8"/>
      <c r="M137" s="9"/>
      <c r="N137" s="8"/>
      <c r="O137" s="8"/>
      <c r="P137" t="str">
        <f>IF(TaskListTable14_1[[#This Row],[last_update]]&gt;VLOOKUP("LAST-MTG-DATE",DEF_Parameter!$A$3:$D$102,4,FALSE),"YES","")</f>
        <v/>
      </c>
      <c r="Q137"/>
      <c r="R137"/>
    </row>
    <row r="138" spans="1:18" x14ac:dyDescent="0.45">
      <c r="A138">
        <f t="shared" si="2"/>
        <v>80</v>
      </c>
      <c r="B138" t="str">
        <f>VLOOKUP("project_id",ProjectHeaderInfoTalbe37_1[],2,FALSE)&amp;"-"&amp;"T"&amp;TEXT(TaskListTable14_1[[#This Row],[no]],"000")</f>
        <v>PJ-INFRA-26-01-T080</v>
      </c>
      <c r="C138" s="8"/>
      <c r="D138" s="8"/>
      <c r="E138" s="8"/>
      <c r="F138" s="8"/>
      <c r="G138" s="9"/>
      <c r="H138" s="9"/>
      <c r="I138" s="8"/>
      <c r="J138" s="8"/>
      <c r="K138" s="8"/>
      <c r="L138" s="8"/>
      <c r="M138" s="9"/>
      <c r="N138" s="8"/>
      <c r="O138" s="8"/>
      <c r="P138" t="str">
        <f>IF(TaskListTable14_1[[#This Row],[last_update]]&gt;VLOOKUP("LAST-MTG-DATE",DEF_Parameter!$A$3:$D$102,4,FALSE),"YES","")</f>
        <v/>
      </c>
      <c r="Q138"/>
      <c r="R138"/>
    </row>
    <row r="139" spans="1:18" x14ac:dyDescent="0.45">
      <c r="A139">
        <f t="shared" si="2"/>
        <v>81</v>
      </c>
      <c r="B139" t="str">
        <f>VLOOKUP("project_id",ProjectHeaderInfoTalbe37_1[],2,FALSE)&amp;"-"&amp;"T"&amp;TEXT(TaskListTable14_1[[#This Row],[no]],"000")</f>
        <v>PJ-INFRA-26-01-T081</v>
      </c>
      <c r="C139" s="8"/>
      <c r="D139" s="8"/>
      <c r="E139" s="8"/>
      <c r="F139" s="8"/>
      <c r="G139" s="9"/>
      <c r="H139" s="9"/>
      <c r="I139" s="8"/>
      <c r="J139" s="8"/>
      <c r="K139" s="8"/>
      <c r="L139" s="8"/>
      <c r="M139" s="9"/>
      <c r="N139" s="8"/>
      <c r="O139" s="8"/>
      <c r="P139" t="str">
        <f>IF(TaskListTable14_1[[#This Row],[last_update]]&gt;VLOOKUP("LAST-MTG-DATE",DEF_Parameter!$A$3:$D$102,4,FALSE),"YES","")</f>
        <v/>
      </c>
      <c r="Q139"/>
      <c r="R139"/>
    </row>
    <row r="140" spans="1:18" x14ac:dyDescent="0.45">
      <c r="A140">
        <f t="shared" si="2"/>
        <v>82</v>
      </c>
      <c r="B140" t="str">
        <f>VLOOKUP("project_id",ProjectHeaderInfoTalbe37_1[],2,FALSE)&amp;"-"&amp;"T"&amp;TEXT(TaskListTable14_1[[#This Row],[no]],"000")</f>
        <v>PJ-INFRA-26-01-T082</v>
      </c>
      <c r="C140" s="8"/>
      <c r="D140" s="8"/>
      <c r="E140" s="8"/>
      <c r="F140" s="8"/>
      <c r="G140" s="9"/>
      <c r="H140" s="9"/>
      <c r="I140" s="8"/>
      <c r="J140" s="8"/>
      <c r="K140" s="8"/>
      <c r="L140" s="8"/>
      <c r="M140" s="9"/>
      <c r="N140" s="8"/>
      <c r="O140" s="8"/>
      <c r="P140" t="str">
        <f>IF(TaskListTable14_1[[#This Row],[last_update]]&gt;VLOOKUP("LAST-MTG-DATE",DEF_Parameter!$A$3:$D$102,4,FALSE),"YES","")</f>
        <v/>
      </c>
      <c r="Q140"/>
      <c r="R140"/>
    </row>
    <row r="141" spans="1:18" x14ac:dyDescent="0.45">
      <c r="A141">
        <f t="shared" si="2"/>
        <v>83</v>
      </c>
      <c r="B141" t="str">
        <f>VLOOKUP("project_id",ProjectHeaderInfoTalbe37_1[],2,FALSE)&amp;"-"&amp;"T"&amp;TEXT(TaskListTable14_1[[#This Row],[no]],"000")</f>
        <v>PJ-INFRA-26-01-T083</v>
      </c>
      <c r="C141" s="8"/>
      <c r="D141" s="8"/>
      <c r="E141" s="8"/>
      <c r="F141" s="8"/>
      <c r="G141" s="9"/>
      <c r="H141" s="9"/>
      <c r="I141" s="8"/>
      <c r="J141" s="8"/>
      <c r="K141" s="8"/>
      <c r="L141" s="8"/>
      <c r="M141" s="9"/>
      <c r="N141" s="8"/>
      <c r="O141" s="8"/>
      <c r="P141" t="str">
        <f>IF(TaskListTable14_1[[#This Row],[last_update]]&gt;VLOOKUP("LAST-MTG-DATE",DEF_Parameter!$A$3:$D$102,4,FALSE),"YES","")</f>
        <v/>
      </c>
      <c r="Q141"/>
      <c r="R141"/>
    </row>
    <row r="142" spans="1:18" x14ac:dyDescent="0.45">
      <c r="A142">
        <f t="shared" si="2"/>
        <v>84</v>
      </c>
      <c r="B142" t="str">
        <f>VLOOKUP("project_id",ProjectHeaderInfoTalbe37_1[],2,FALSE)&amp;"-"&amp;"T"&amp;TEXT(TaskListTable14_1[[#This Row],[no]],"000")</f>
        <v>PJ-INFRA-26-01-T084</v>
      </c>
      <c r="C142" s="8"/>
      <c r="D142" s="8"/>
      <c r="E142" s="8"/>
      <c r="F142" s="8"/>
      <c r="G142" s="9"/>
      <c r="H142" s="9"/>
      <c r="I142" s="8"/>
      <c r="J142" s="8"/>
      <c r="K142" s="8"/>
      <c r="L142" s="8"/>
      <c r="M142" s="9"/>
      <c r="N142" s="8"/>
      <c r="O142" s="8"/>
      <c r="P142" t="str">
        <f>IF(TaskListTable14_1[[#This Row],[last_update]]&gt;VLOOKUP("LAST-MTG-DATE",DEF_Parameter!$A$3:$D$102,4,FALSE),"YES","")</f>
        <v/>
      </c>
      <c r="Q142"/>
      <c r="R142"/>
    </row>
    <row r="143" spans="1:18" x14ac:dyDescent="0.45">
      <c r="A143">
        <f t="shared" si="2"/>
        <v>85</v>
      </c>
      <c r="B143" t="str">
        <f>VLOOKUP("project_id",ProjectHeaderInfoTalbe37_1[],2,FALSE)&amp;"-"&amp;"T"&amp;TEXT(TaskListTable14_1[[#This Row],[no]],"000")</f>
        <v>PJ-INFRA-26-01-T085</v>
      </c>
      <c r="C143" s="8"/>
      <c r="D143" s="8"/>
      <c r="E143" s="8"/>
      <c r="F143" s="8"/>
      <c r="G143" s="9"/>
      <c r="H143" s="9"/>
      <c r="I143" s="8"/>
      <c r="J143" s="8"/>
      <c r="K143" s="8"/>
      <c r="L143" s="8"/>
      <c r="M143" s="9"/>
      <c r="N143" s="8"/>
      <c r="O143" s="8"/>
      <c r="P143" t="str">
        <f>IF(TaskListTable14_1[[#This Row],[last_update]]&gt;VLOOKUP("LAST-MTG-DATE",DEF_Parameter!$A$3:$D$102,4,FALSE),"YES","")</f>
        <v/>
      </c>
      <c r="Q143"/>
      <c r="R143"/>
    </row>
    <row r="144" spans="1:18" x14ac:dyDescent="0.45">
      <c r="A144">
        <f t="shared" si="2"/>
        <v>86</v>
      </c>
      <c r="B144" t="str">
        <f>VLOOKUP("project_id",ProjectHeaderInfoTalbe37_1[],2,FALSE)&amp;"-"&amp;"T"&amp;TEXT(TaskListTable14_1[[#This Row],[no]],"000")</f>
        <v>PJ-INFRA-26-01-T086</v>
      </c>
      <c r="C144" s="8"/>
      <c r="D144" s="8"/>
      <c r="E144" s="8"/>
      <c r="F144" s="8"/>
      <c r="G144" s="9"/>
      <c r="H144" s="9"/>
      <c r="I144" s="8"/>
      <c r="J144" s="8"/>
      <c r="K144" s="8"/>
      <c r="L144" s="8"/>
      <c r="M144" s="9"/>
      <c r="N144" s="8"/>
      <c r="O144" s="8"/>
      <c r="P144" t="str">
        <f>IF(TaskListTable14_1[[#This Row],[last_update]]&gt;VLOOKUP("LAST-MTG-DATE",DEF_Parameter!$A$3:$D$102,4,FALSE),"YES","")</f>
        <v/>
      </c>
      <c r="Q144"/>
      <c r="R144"/>
    </row>
    <row r="145" spans="1:18" x14ac:dyDescent="0.45">
      <c r="A145">
        <f t="shared" si="2"/>
        <v>87</v>
      </c>
      <c r="B145" t="str">
        <f>VLOOKUP("project_id",ProjectHeaderInfoTalbe37_1[],2,FALSE)&amp;"-"&amp;"T"&amp;TEXT(TaskListTable14_1[[#This Row],[no]],"000")</f>
        <v>PJ-INFRA-26-01-T087</v>
      </c>
      <c r="C145" s="8"/>
      <c r="D145" s="8"/>
      <c r="E145" s="8"/>
      <c r="F145" s="8"/>
      <c r="G145" s="9"/>
      <c r="H145" s="9"/>
      <c r="I145" s="8"/>
      <c r="J145" s="8"/>
      <c r="K145" s="8"/>
      <c r="L145" s="8"/>
      <c r="M145" s="9"/>
      <c r="N145" s="8"/>
      <c r="O145" s="8"/>
      <c r="P145" t="str">
        <f>IF(TaskListTable14_1[[#This Row],[last_update]]&gt;VLOOKUP("LAST-MTG-DATE",DEF_Parameter!$A$3:$D$102,4,FALSE),"YES","")</f>
        <v/>
      </c>
      <c r="Q145"/>
      <c r="R145"/>
    </row>
    <row r="146" spans="1:18" x14ac:dyDescent="0.45">
      <c r="A146">
        <f t="shared" si="2"/>
        <v>88</v>
      </c>
      <c r="B146" t="str">
        <f>VLOOKUP("project_id",ProjectHeaderInfoTalbe37_1[],2,FALSE)&amp;"-"&amp;"T"&amp;TEXT(TaskListTable14_1[[#This Row],[no]],"000")</f>
        <v>PJ-INFRA-26-01-T088</v>
      </c>
      <c r="C146" s="8"/>
      <c r="D146" s="8"/>
      <c r="E146" s="8"/>
      <c r="F146" s="8"/>
      <c r="G146" s="9"/>
      <c r="H146" s="9"/>
      <c r="I146" s="8"/>
      <c r="J146" s="8"/>
      <c r="K146" s="8"/>
      <c r="L146" s="8"/>
      <c r="M146" s="9"/>
      <c r="N146" s="8"/>
      <c r="O146" s="8"/>
      <c r="P146" t="str">
        <f>IF(TaskListTable14_1[[#This Row],[last_update]]&gt;VLOOKUP("LAST-MTG-DATE",DEF_Parameter!$A$3:$D$102,4,FALSE),"YES","")</f>
        <v/>
      </c>
      <c r="Q146"/>
      <c r="R146"/>
    </row>
    <row r="147" spans="1:18" x14ac:dyDescent="0.45">
      <c r="A147">
        <f t="shared" si="2"/>
        <v>89</v>
      </c>
      <c r="B147" t="str">
        <f>VLOOKUP("project_id",ProjectHeaderInfoTalbe37_1[],2,FALSE)&amp;"-"&amp;"T"&amp;TEXT(TaskListTable14_1[[#This Row],[no]],"000")</f>
        <v>PJ-INFRA-26-01-T089</v>
      </c>
      <c r="C147" s="8"/>
      <c r="D147" s="8"/>
      <c r="E147" s="8"/>
      <c r="F147" s="8"/>
      <c r="G147" s="9"/>
      <c r="H147" s="9"/>
      <c r="I147" s="8"/>
      <c r="J147" s="8"/>
      <c r="K147" s="8"/>
      <c r="L147" s="8"/>
      <c r="M147" s="9"/>
      <c r="N147" s="8"/>
      <c r="O147" s="8"/>
      <c r="P147" t="str">
        <f>IF(TaskListTable14_1[[#This Row],[last_update]]&gt;VLOOKUP("LAST-MTG-DATE",DEF_Parameter!$A$3:$D$102,4,FALSE),"YES","")</f>
        <v/>
      </c>
      <c r="Q147"/>
      <c r="R147"/>
    </row>
    <row r="148" spans="1:18" x14ac:dyDescent="0.45">
      <c r="A148">
        <f t="shared" si="2"/>
        <v>90</v>
      </c>
      <c r="B148" t="str">
        <f>VLOOKUP("project_id",ProjectHeaderInfoTalbe37_1[],2,FALSE)&amp;"-"&amp;"T"&amp;TEXT(TaskListTable14_1[[#This Row],[no]],"000")</f>
        <v>PJ-INFRA-26-01-T090</v>
      </c>
      <c r="C148" s="8"/>
      <c r="D148" s="8"/>
      <c r="E148" s="8"/>
      <c r="F148" s="8"/>
      <c r="G148" s="9"/>
      <c r="H148" s="9"/>
      <c r="I148" s="8"/>
      <c r="J148" s="8"/>
      <c r="K148" s="8"/>
      <c r="L148" s="8"/>
      <c r="M148" s="9"/>
      <c r="N148" s="8"/>
      <c r="O148" s="8"/>
      <c r="P148" t="str">
        <f>IF(TaskListTable14_1[[#This Row],[last_update]]&gt;VLOOKUP("LAST-MTG-DATE",DEF_Parameter!$A$3:$D$102,4,FALSE),"YES","")</f>
        <v/>
      </c>
      <c r="Q148"/>
      <c r="R148"/>
    </row>
    <row r="149" spans="1:18" x14ac:dyDescent="0.45">
      <c r="A149">
        <f t="shared" si="2"/>
        <v>91</v>
      </c>
      <c r="B149" t="str">
        <f>VLOOKUP("project_id",ProjectHeaderInfoTalbe37_1[],2,FALSE)&amp;"-"&amp;"T"&amp;TEXT(TaskListTable14_1[[#This Row],[no]],"000")</f>
        <v>PJ-INFRA-26-01-T091</v>
      </c>
      <c r="C149" s="8"/>
      <c r="D149" s="8"/>
      <c r="E149" s="8"/>
      <c r="F149" s="8"/>
      <c r="G149" s="9"/>
      <c r="H149" s="9"/>
      <c r="I149" s="8"/>
      <c r="J149" s="8"/>
      <c r="K149" s="8"/>
      <c r="L149" s="8"/>
      <c r="M149" s="9"/>
      <c r="N149" s="8"/>
      <c r="O149" s="8"/>
      <c r="P149" t="str">
        <f>IF(TaskListTable14_1[[#This Row],[last_update]]&gt;VLOOKUP("LAST-MTG-DATE",DEF_Parameter!$A$3:$D$102,4,FALSE),"YES","")</f>
        <v/>
      </c>
      <c r="Q149"/>
      <c r="R149"/>
    </row>
    <row r="150" spans="1:18" x14ac:dyDescent="0.45">
      <c r="A150">
        <f t="shared" si="2"/>
        <v>92</v>
      </c>
      <c r="B150" t="str">
        <f>VLOOKUP("project_id",ProjectHeaderInfoTalbe37_1[],2,FALSE)&amp;"-"&amp;"T"&amp;TEXT(TaskListTable14_1[[#This Row],[no]],"000")</f>
        <v>PJ-INFRA-26-01-T092</v>
      </c>
      <c r="C150" s="8"/>
      <c r="D150" s="8"/>
      <c r="E150" s="8"/>
      <c r="F150" s="8"/>
      <c r="G150" s="9"/>
      <c r="H150" s="9"/>
      <c r="I150" s="8"/>
      <c r="J150" s="8"/>
      <c r="K150" s="8"/>
      <c r="L150" s="8"/>
      <c r="M150" s="9"/>
      <c r="N150" s="8"/>
      <c r="O150" s="8"/>
      <c r="P150" t="str">
        <f>IF(TaskListTable14_1[[#This Row],[last_update]]&gt;VLOOKUP("LAST-MTG-DATE",DEF_Parameter!$A$3:$D$102,4,FALSE),"YES","")</f>
        <v/>
      </c>
      <c r="Q150"/>
      <c r="R150"/>
    </row>
    <row r="151" spans="1:18" x14ac:dyDescent="0.45">
      <c r="A151">
        <f t="shared" si="2"/>
        <v>93</v>
      </c>
      <c r="B151" t="str">
        <f>VLOOKUP("project_id",ProjectHeaderInfoTalbe37_1[],2,FALSE)&amp;"-"&amp;"T"&amp;TEXT(TaskListTable14_1[[#This Row],[no]],"000")</f>
        <v>PJ-INFRA-26-01-T093</v>
      </c>
      <c r="C151" s="8"/>
      <c r="D151" s="8"/>
      <c r="E151" s="8"/>
      <c r="F151" s="8"/>
      <c r="G151" s="9"/>
      <c r="H151" s="9"/>
      <c r="I151" s="8"/>
      <c r="J151" s="8"/>
      <c r="K151" s="8"/>
      <c r="L151" s="8"/>
      <c r="M151" s="9"/>
      <c r="N151" s="8"/>
      <c r="O151" s="8"/>
      <c r="P151" t="str">
        <f>IF(TaskListTable14_1[[#This Row],[last_update]]&gt;VLOOKUP("LAST-MTG-DATE",DEF_Parameter!$A$3:$D$102,4,FALSE),"YES","")</f>
        <v/>
      </c>
      <c r="Q151"/>
      <c r="R151"/>
    </row>
    <row r="152" spans="1:18" x14ac:dyDescent="0.45">
      <c r="A152">
        <f t="shared" si="2"/>
        <v>94</v>
      </c>
      <c r="B152" t="str">
        <f>VLOOKUP("project_id",ProjectHeaderInfoTalbe37_1[],2,FALSE)&amp;"-"&amp;"T"&amp;TEXT(TaskListTable14_1[[#This Row],[no]],"000")</f>
        <v>PJ-INFRA-26-01-T094</v>
      </c>
      <c r="C152" s="8"/>
      <c r="D152" s="8"/>
      <c r="E152" s="8"/>
      <c r="F152" s="8"/>
      <c r="G152" s="9"/>
      <c r="H152" s="9"/>
      <c r="I152" s="8"/>
      <c r="J152" s="8"/>
      <c r="K152" s="8"/>
      <c r="L152" s="8"/>
      <c r="M152" s="9"/>
      <c r="N152" s="8"/>
      <c r="O152" s="8"/>
      <c r="P152" t="str">
        <f>IF(TaskListTable14_1[[#This Row],[last_update]]&gt;VLOOKUP("LAST-MTG-DATE",DEF_Parameter!$A$3:$D$102,4,FALSE),"YES","")</f>
        <v/>
      </c>
      <c r="Q152"/>
      <c r="R152"/>
    </row>
    <row r="153" spans="1:18" x14ac:dyDescent="0.45">
      <c r="A153">
        <f t="shared" si="2"/>
        <v>95</v>
      </c>
      <c r="B153" t="str">
        <f>VLOOKUP("project_id",ProjectHeaderInfoTalbe37_1[],2,FALSE)&amp;"-"&amp;"T"&amp;TEXT(TaskListTable14_1[[#This Row],[no]],"000")</f>
        <v>PJ-INFRA-26-01-T095</v>
      </c>
      <c r="C153" s="8"/>
      <c r="D153" s="8"/>
      <c r="E153" s="8"/>
      <c r="F153" s="8"/>
      <c r="G153" s="9"/>
      <c r="H153" s="9"/>
      <c r="I153" s="8"/>
      <c r="J153" s="8"/>
      <c r="K153" s="8"/>
      <c r="L153" s="8"/>
      <c r="M153" s="9"/>
      <c r="N153" s="8"/>
      <c r="O153" s="8"/>
      <c r="P153" t="str">
        <f>IF(TaskListTable14_1[[#This Row],[last_update]]&gt;VLOOKUP("LAST-MTG-DATE",DEF_Parameter!$A$3:$D$102,4,FALSE),"YES","")</f>
        <v/>
      </c>
      <c r="Q153"/>
      <c r="R153"/>
    </row>
    <row r="154" spans="1:18" x14ac:dyDescent="0.45">
      <c r="A154">
        <f t="shared" si="2"/>
        <v>96</v>
      </c>
      <c r="B154" t="str">
        <f>VLOOKUP("project_id",ProjectHeaderInfoTalbe37_1[],2,FALSE)&amp;"-"&amp;"T"&amp;TEXT(TaskListTable14_1[[#This Row],[no]],"000")</f>
        <v>PJ-INFRA-26-01-T096</v>
      </c>
      <c r="C154" s="8"/>
      <c r="D154" s="8"/>
      <c r="E154" s="8"/>
      <c r="F154" s="8"/>
      <c r="G154" s="9"/>
      <c r="H154" s="9"/>
      <c r="I154" s="8"/>
      <c r="J154" s="8"/>
      <c r="K154" s="8"/>
      <c r="L154" s="8"/>
      <c r="M154" s="9"/>
      <c r="N154" s="8"/>
      <c r="O154" s="8"/>
      <c r="P154" t="str">
        <f>IF(TaskListTable14_1[[#This Row],[last_update]]&gt;VLOOKUP("LAST-MTG-DATE",DEF_Parameter!$A$3:$D$102,4,FALSE),"YES","")</f>
        <v/>
      </c>
      <c r="Q154"/>
      <c r="R154"/>
    </row>
    <row r="155" spans="1:18" x14ac:dyDescent="0.45">
      <c r="A155">
        <f t="shared" si="2"/>
        <v>97</v>
      </c>
      <c r="B155" t="str">
        <f>VLOOKUP("project_id",ProjectHeaderInfoTalbe37_1[],2,FALSE)&amp;"-"&amp;"T"&amp;TEXT(TaskListTable14_1[[#This Row],[no]],"000")</f>
        <v>PJ-INFRA-26-01-T097</v>
      </c>
      <c r="C155" s="8"/>
      <c r="D155" s="8"/>
      <c r="E155" s="8"/>
      <c r="F155" s="8"/>
      <c r="G155" s="9"/>
      <c r="H155" s="9"/>
      <c r="I155" s="8"/>
      <c r="J155" s="8"/>
      <c r="K155" s="8"/>
      <c r="L155" s="8"/>
      <c r="M155" s="9"/>
      <c r="N155" s="8"/>
      <c r="O155" s="8"/>
      <c r="P155" t="str">
        <f>IF(TaskListTable14_1[[#This Row],[last_update]]&gt;VLOOKUP("LAST-MTG-DATE",DEF_Parameter!$A$3:$D$102,4,FALSE),"YES","")</f>
        <v/>
      </c>
      <c r="Q155"/>
      <c r="R155"/>
    </row>
    <row r="156" spans="1:18" x14ac:dyDescent="0.45">
      <c r="A156">
        <f t="shared" si="2"/>
        <v>98</v>
      </c>
      <c r="B156" t="str">
        <f>VLOOKUP("project_id",ProjectHeaderInfoTalbe37_1[],2,FALSE)&amp;"-"&amp;"T"&amp;TEXT(TaskListTable14_1[[#This Row],[no]],"000")</f>
        <v>PJ-INFRA-26-01-T098</v>
      </c>
      <c r="C156" s="8"/>
      <c r="D156" s="8"/>
      <c r="E156" s="8"/>
      <c r="F156" s="8"/>
      <c r="G156" s="9"/>
      <c r="H156" s="9"/>
      <c r="I156" s="8"/>
      <c r="J156" s="8"/>
      <c r="K156" s="8"/>
      <c r="L156" s="8"/>
      <c r="M156" s="9"/>
      <c r="N156" s="8"/>
      <c r="O156" s="8"/>
      <c r="P156" t="str">
        <f>IF(TaskListTable14_1[[#This Row],[last_update]]&gt;VLOOKUP("LAST-MTG-DATE",DEF_Parameter!$A$3:$D$102,4,FALSE),"YES","")</f>
        <v/>
      </c>
      <c r="Q156"/>
      <c r="R156"/>
    </row>
    <row r="157" spans="1:18" x14ac:dyDescent="0.45">
      <c r="A157">
        <f t="shared" si="2"/>
        <v>99</v>
      </c>
      <c r="B157" t="str">
        <f>VLOOKUP("project_id",ProjectHeaderInfoTalbe37_1[],2,FALSE)&amp;"-"&amp;"T"&amp;TEXT(TaskListTable14_1[[#This Row],[no]],"000")</f>
        <v>PJ-INFRA-26-01-T099</v>
      </c>
      <c r="C157" s="8"/>
      <c r="D157" s="8"/>
      <c r="E157" s="8"/>
      <c r="F157" s="8"/>
      <c r="G157" s="9"/>
      <c r="H157" s="9"/>
      <c r="I157" s="8"/>
      <c r="J157" s="8"/>
      <c r="K157" s="8"/>
      <c r="L157" s="8"/>
      <c r="M157" s="9"/>
      <c r="N157" s="8"/>
      <c r="O157" s="8"/>
      <c r="P157" t="str">
        <f>IF(TaskListTable14_1[[#This Row],[last_update]]&gt;VLOOKUP("LAST-MTG-DATE",DEF_Parameter!$A$3:$D$102,4,FALSE),"YES","")</f>
        <v/>
      </c>
      <c r="Q157"/>
      <c r="R157"/>
    </row>
    <row r="158" spans="1:18" x14ac:dyDescent="0.45">
      <c r="A158">
        <f t="shared" si="2"/>
        <v>100</v>
      </c>
      <c r="B158" t="str">
        <f>VLOOKUP("project_id",ProjectHeaderInfoTalbe37_1[],2,FALSE)&amp;"-"&amp;"T"&amp;TEXT(TaskListTable14_1[[#This Row],[no]],"000")</f>
        <v>PJ-INFRA-26-01-T100</v>
      </c>
      <c r="C158" s="8"/>
      <c r="D158" s="8"/>
      <c r="E158" s="8"/>
      <c r="F158" s="8"/>
      <c r="G158" s="9"/>
      <c r="H158" s="9"/>
      <c r="I158" s="8"/>
      <c r="J158" s="8"/>
      <c r="K158" s="8"/>
      <c r="L158" s="8"/>
      <c r="M158" s="9"/>
      <c r="N158" s="8"/>
      <c r="O158" s="8"/>
      <c r="P158" t="str">
        <f>IF(TaskListTable14_1[[#This Row],[last_update]]&gt;VLOOKUP("LAST-MTG-DATE",DEF_Parameter!$A$3:$D$102,4,FALSE),"YES","")</f>
        <v/>
      </c>
      <c r="Q158"/>
      <c r="R158"/>
    </row>
    <row r="159" spans="1:18" x14ac:dyDescent="0.45">
      <c r="A159">
        <f t="shared" si="2"/>
        <v>101</v>
      </c>
      <c r="B159" t="str">
        <f>VLOOKUP("project_id",ProjectHeaderInfoTalbe37_1[],2,FALSE)&amp;"-"&amp;"T"&amp;TEXT(TaskListTable14_1[[#This Row],[no]],"000")</f>
        <v>PJ-INFRA-26-01-T101</v>
      </c>
      <c r="C159" s="8"/>
      <c r="D159" s="8"/>
      <c r="E159" s="8"/>
      <c r="F159" s="8"/>
      <c r="G159" s="9"/>
      <c r="H159" s="9"/>
      <c r="I159" s="8"/>
      <c r="J159" s="8"/>
      <c r="K159" s="8"/>
      <c r="L159" s="8"/>
      <c r="M159" s="9"/>
      <c r="N159" s="8"/>
      <c r="O159" s="8"/>
      <c r="P159" t="str">
        <f>IF(TaskListTable14_1[[#This Row],[last_update]]&gt;VLOOKUP("LAST-MTG-DATE",DEF_Parameter!$A$3:$D$102,4,FALSE),"YES","")</f>
        <v/>
      </c>
      <c r="Q159"/>
      <c r="R159"/>
    </row>
    <row r="160" spans="1:18" x14ac:dyDescent="0.45">
      <c r="A160">
        <f t="shared" si="2"/>
        <v>102</v>
      </c>
      <c r="B160" t="str">
        <f>VLOOKUP("project_id",ProjectHeaderInfoTalbe37_1[],2,FALSE)&amp;"-"&amp;"T"&amp;TEXT(TaskListTable14_1[[#This Row],[no]],"000")</f>
        <v>PJ-INFRA-26-01-T102</v>
      </c>
      <c r="C160" s="8"/>
      <c r="D160" s="8"/>
      <c r="E160" s="8"/>
      <c r="F160" s="8"/>
      <c r="G160" s="9"/>
      <c r="H160" s="9"/>
      <c r="I160" s="8"/>
      <c r="J160" s="8"/>
      <c r="K160" s="8"/>
      <c r="L160" s="8"/>
      <c r="M160" s="9"/>
      <c r="N160" s="8"/>
      <c r="O160" s="8"/>
      <c r="P160" t="str">
        <f>IF(TaskListTable14_1[[#This Row],[last_update]]&gt;VLOOKUP("LAST-MTG-DATE",DEF_Parameter!$A$3:$D$102,4,FALSE),"YES","")</f>
        <v/>
      </c>
      <c r="Q160"/>
      <c r="R160"/>
    </row>
    <row r="161" spans="1:18" x14ac:dyDescent="0.45">
      <c r="A161">
        <f t="shared" si="2"/>
        <v>103</v>
      </c>
      <c r="B161" t="str">
        <f>VLOOKUP("project_id",ProjectHeaderInfoTalbe37_1[],2,FALSE)&amp;"-"&amp;"T"&amp;TEXT(TaskListTable14_1[[#This Row],[no]],"000")</f>
        <v>PJ-INFRA-26-01-T103</v>
      </c>
      <c r="C161" s="8"/>
      <c r="D161" s="8"/>
      <c r="E161" s="8"/>
      <c r="F161" s="8"/>
      <c r="G161" s="9"/>
      <c r="H161" s="9"/>
      <c r="I161" s="8"/>
      <c r="J161" s="8"/>
      <c r="K161" s="8"/>
      <c r="L161" s="8"/>
      <c r="M161" s="9"/>
      <c r="N161" s="8"/>
      <c r="O161" s="8"/>
      <c r="P161" t="str">
        <f>IF(TaskListTable14_1[[#This Row],[last_update]]&gt;VLOOKUP("LAST-MTG-DATE",DEF_Parameter!$A$3:$D$102,4,FALSE),"YES","")</f>
        <v/>
      </c>
      <c r="Q161"/>
      <c r="R161"/>
    </row>
    <row r="162" spans="1:18" x14ac:dyDescent="0.45">
      <c r="A162">
        <f t="shared" si="2"/>
        <v>104</v>
      </c>
      <c r="B162" t="str">
        <f>VLOOKUP("project_id",ProjectHeaderInfoTalbe37_1[],2,FALSE)&amp;"-"&amp;"T"&amp;TEXT(TaskListTable14_1[[#This Row],[no]],"000")</f>
        <v>PJ-INFRA-26-01-T104</v>
      </c>
      <c r="C162" s="8"/>
      <c r="D162" s="8"/>
      <c r="E162" s="8"/>
      <c r="F162" s="8"/>
      <c r="G162" s="9"/>
      <c r="H162" s="9"/>
      <c r="I162" s="8"/>
      <c r="J162" s="8"/>
      <c r="K162" s="8"/>
      <c r="L162" s="8"/>
      <c r="M162" s="9"/>
      <c r="N162" s="8"/>
      <c r="O162" s="8"/>
      <c r="P162" t="str">
        <f>IF(TaskListTable14_1[[#This Row],[last_update]]&gt;VLOOKUP("LAST-MTG-DATE",DEF_Parameter!$A$3:$D$102,4,FALSE),"YES","")</f>
        <v/>
      </c>
      <c r="Q162"/>
      <c r="R162"/>
    </row>
    <row r="163" spans="1:18" x14ac:dyDescent="0.45">
      <c r="A163">
        <f t="shared" si="2"/>
        <v>105</v>
      </c>
      <c r="B163" t="str">
        <f>VLOOKUP("project_id",ProjectHeaderInfoTalbe37_1[],2,FALSE)&amp;"-"&amp;"T"&amp;TEXT(TaskListTable14_1[[#This Row],[no]],"000")</f>
        <v>PJ-INFRA-26-01-T105</v>
      </c>
      <c r="C163" s="8"/>
      <c r="D163" s="8"/>
      <c r="E163" s="8"/>
      <c r="F163" s="8"/>
      <c r="G163" s="9"/>
      <c r="H163" s="9"/>
      <c r="I163" s="8"/>
      <c r="J163" s="8"/>
      <c r="K163" s="8"/>
      <c r="L163" s="8"/>
      <c r="M163" s="9"/>
      <c r="N163" s="8"/>
      <c r="O163" s="8"/>
      <c r="P163" t="str">
        <f>IF(TaskListTable14_1[[#This Row],[last_update]]&gt;VLOOKUP("LAST-MTG-DATE",DEF_Parameter!$A$3:$D$102,4,FALSE),"YES","")</f>
        <v/>
      </c>
      <c r="Q163"/>
      <c r="R163"/>
    </row>
    <row r="164" spans="1:18" x14ac:dyDescent="0.45">
      <c r="A164">
        <f t="shared" si="2"/>
        <v>106</v>
      </c>
      <c r="B164" t="str">
        <f>VLOOKUP("project_id",ProjectHeaderInfoTalbe37_1[],2,FALSE)&amp;"-"&amp;"T"&amp;TEXT(TaskListTable14_1[[#This Row],[no]],"000")</f>
        <v>PJ-INFRA-26-01-T106</v>
      </c>
      <c r="C164" s="8"/>
      <c r="D164" s="8"/>
      <c r="E164" s="8"/>
      <c r="F164" s="8"/>
      <c r="G164" s="9"/>
      <c r="H164" s="9"/>
      <c r="I164" s="8"/>
      <c r="J164" s="8"/>
      <c r="K164" s="8"/>
      <c r="L164" s="8"/>
      <c r="M164" s="9"/>
      <c r="N164" s="8"/>
      <c r="O164" s="8"/>
      <c r="P164" t="str">
        <f>IF(TaskListTable14_1[[#This Row],[last_update]]&gt;VLOOKUP("LAST-MTG-DATE",DEF_Parameter!$A$3:$D$102,4,FALSE),"YES","")</f>
        <v/>
      </c>
      <c r="Q164"/>
      <c r="R164"/>
    </row>
    <row r="165" spans="1:18" x14ac:dyDescent="0.45">
      <c r="A165">
        <f t="shared" si="2"/>
        <v>107</v>
      </c>
      <c r="B165" t="str">
        <f>VLOOKUP("project_id",ProjectHeaderInfoTalbe37_1[],2,FALSE)&amp;"-"&amp;"T"&amp;TEXT(TaskListTable14_1[[#This Row],[no]],"000")</f>
        <v>PJ-INFRA-26-01-T107</v>
      </c>
      <c r="C165" s="8"/>
      <c r="D165" s="8"/>
      <c r="E165" s="8"/>
      <c r="F165" s="8"/>
      <c r="G165" s="9"/>
      <c r="H165" s="9"/>
      <c r="I165" s="8"/>
      <c r="J165" s="8"/>
      <c r="K165" s="8"/>
      <c r="L165" s="8"/>
      <c r="M165" s="9"/>
      <c r="N165" s="8"/>
      <c r="O165" s="8"/>
      <c r="P165" t="str">
        <f>IF(TaskListTable14_1[[#This Row],[last_update]]&gt;VLOOKUP("LAST-MTG-DATE",DEF_Parameter!$A$3:$D$102,4,FALSE),"YES","")</f>
        <v/>
      </c>
      <c r="Q165"/>
      <c r="R165"/>
    </row>
    <row r="166" spans="1:18" x14ac:dyDescent="0.45">
      <c r="A166">
        <f t="shared" si="2"/>
        <v>108</v>
      </c>
      <c r="B166" t="str">
        <f>VLOOKUP("project_id",ProjectHeaderInfoTalbe37_1[],2,FALSE)&amp;"-"&amp;"T"&amp;TEXT(TaskListTable14_1[[#This Row],[no]],"000")</f>
        <v>PJ-INFRA-26-01-T108</v>
      </c>
      <c r="C166" s="8"/>
      <c r="D166" s="8"/>
      <c r="E166" s="8"/>
      <c r="F166" s="8"/>
      <c r="G166" s="9"/>
      <c r="H166" s="9"/>
      <c r="I166" s="8"/>
      <c r="J166" s="8"/>
      <c r="K166" s="8"/>
      <c r="L166" s="8"/>
      <c r="M166" s="9"/>
      <c r="N166" s="8"/>
      <c r="O166" s="8"/>
      <c r="P166" t="str">
        <f>IF(TaskListTable14_1[[#This Row],[last_update]]&gt;VLOOKUP("LAST-MTG-DATE",DEF_Parameter!$A$3:$D$102,4,FALSE),"YES","")</f>
        <v/>
      </c>
      <c r="Q166"/>
      <c r="R166"/>
    </row>
    <row r="167" spans="1:18" x14ac:dyDescent="0.45">
      <c r="A167">
        <f t="shared" si="2"/>
        <v>109</v>
      </c>
      <c r="B167" t="str">
        <f>VLOOKUP("project_id",ProjectHeaderInfoTalbe37_1[],2,FALSE)&amp;"-"&amp;"T"&amp;TEXT(TaskListTable14_1[[#This Row],[no]],"000")</f>
        <v>PJ-INFRA-26-01-T109</v>
      </c>
      <c r="C167" s="8"/>
      <c r="D167" s="8"/>
      <c r="E167" s="8"/>
      <c r="F167" s="8"/>
      <c r="G167" s="9"/>
      <c r="H167" s="9"/>
      <c r="I167" s="8"/>
      <c r="J167" s="8"/>
      <c r="K167" s="8"/>
      <c r="L167" s="8"/>
      <c r="M167" s="9"/>
      <c r="N167" s="8"/>
      <c r="O167" s="8"/>
      <c r="P167" t="str">
        <f>IF(TaskListTable14_1[[#This Row],[last_update]]&gt;VLOOKUP("LAST-MTG-DATE",DEF_Parameter!$A$3:$D$102,4,FALSE),"YES","")</f>
        <v/>
      </c>
      <c r="Q167"/>
      <c r="R167"/>
    </row>
    <row r="168" spans="1:18" x14ac:dyDescent="0.45">
      <c r="A168">
        <f t="shared" si="2"/>
        <v>110</v>
      </c>
      <c r="B168" t="str">
        <f>VLOOKUP("project_id",ProjectHeaderInfoTalbe37_1[],2,FALSE)&amp;"-"&amp;"T"&amp;TEXT(TaskListTable14_1[[#This Row],[no]],"000")</f>
        <v>PJ-INFRA-26-01-T110</v>
      </c>
      <c r="C168" s="8"/>
      <c r="D168" s="8"/>
      <c r="E168" s="8"/>
      <c r="F168" s="8"/>
      <c r="G168" s="9"/>
      <c r="H168" s="9"/>
      <c r="I168" s="8"/>
      <c r="J168" s="8"/>
      <c r="K168" s="8"/>
      <c r="L168" s="8"/>
      <c r="M168" s="9"/>
      <c r="N168" s="8"/>
      <c r="O168" s="8"/>
      <c r="P168" t="str">
        <f>IF(TaskListTable14_1[[#This Row],[last_update]]&gt;VLOOKUP("LAST-MTG-DATE",DEF_Parameter!$A$3:$D$102,4,FALSE),"YES","")</f>
        <v/>
      </c>
      <c r="Q168"/>
      <c r="R168"/>
    </row>
    <row r="169" spans="1:18" x14ac:dyDescent="0.45">
      <c r="A169">
        <f t="shared" si="2"/>
        <v>111</v>
      </c>
      <c r="B169" t="str">
        <f>VLOOKUP("project_id",ProjectHeaderInfoTalbe37_1[],2,FALSE)&amp;"-"&amp;"T"&amp;TEXT(TaskListTable14_1[[#This Row],[no]],"000")</f>
        <v>PJ-INFRA-26-01-T111</v>
      </c>
      <c r="C169" s="8"/>
      <c r="D169" s="8"/>
      <c r="E169" s="8"/>
      <c r="F169" s="8"/>
      <c r="G169" s="9"/>
      <c r="H169" s="9"/>
      <c r="I169" s="8"/>
      <c r="J169" s="8"/>
      <c r="K169" s="8"/>
      <c r="L169" s="8"/>
      <c r="M169" s="9"/>
      <c r="N169" s="8"/>
      <c r="O169" s="8"/>
      <c r="P169" t="str">
        <f>IF(TaskListTable14_1[[#This Row],[last_update]]&gt;VLOOKUP("LAST-MTG-DATE",DEF_Parameter!$A$3:$D$102,4,FALSE),"YES","")</f>
        <v/>
      </c>
      <c r="Q169"/>
      <c r="R169"/>
    </row>
    <row r="170" spans="1:18" x14ac:dyDescent="0.45">
      <c r="A170">
        <f t="shared" si="2"/>
        <v>112</v>
      </c>
      <c r="B170" t="str">
        <f>VLOOKUP("project_id",ProjectHeaderInfoTalbe37_1[],2,FALSE)&amp;"-"&amp;"T"&amp;TEXT(TaskListTable14_1[[#This Row],[no]],"000")</f>
        <v>PJ-INFRA-26-01-T112</v>
      </c>
      <c r="C170" s="8"/>
      <c r="D170" s="8"/>
      <c r="E170" s="8"/>
      <c r="F170" s="8"/>
      <c r="G170" s="9"/>
      <c r="H170" s="9"/>
      <c r="I170" s="8"/>
      <c r="J170" s="8"/>
      <c r="K170" s="8"/>
      <c r="L170" s="8"/>
      <c r="M170" s="9"/>
      <c r="N170" s="8"/>
      <c r="O170" s="8"/>
      <c r="P170" t="str">
        <f>IF(TaskListTable14_1[[#This Row],[last_update]]&gt;VLOOKUP("LAST-MTG-DATE",DEF_Parameter!$A$3:$D$102,4,FALSE),"YES","")</f>
        <v/>
      </c>
      <c r="Q170"/>
      <c r="R170"/>
    </row>
    <row r="171" spans="1:18" x14ac:dyDescent="0.45">
      <c r="A171">
        <f t="shared" si="2"/>
        <v>113</v>
      </c>
      <c r="B171" t="str">
        <f>VLOOKUP("project_id",ProjectHeaderInfoTalbe37_1[],2,FALSE)&amp;"-"&amp;"T"&amp;TEXT(TaskListTable14_1[[#This Row],[no]],"000")</f>
        <v>PJ-INFRA-26-01-T113</v>
      </c>
      <c r="C171" s="8"/>
      <c r="D171" s="8"/>
      <c r="E171" s="8"/>
      <c r="F171" s="8"/>
      <c r="G171" s="9"/>
      <c r="H171" s="9"/>
      <c r="I171" s="8"/>
      <c r="J171" s="8"/>
      <c r="K171" s="8"/>
      <c r="L171" s="8"/>
      <c r="M171" s="9"/>
      <c r="N171" s="8"/>
      <c r="O171" s="8"/>
      <c r="P171" t="str">
        <f>IF(TaskListTable14_1[[#This Row],[last_update]]&gt;VLOOKUP("LAST-MTG-DATE",DEF_Parameter!$A$3:$D$102,4,FALSE),"YES","")</f>
        <v/>
      </c>
      <c r="Q171"/>
      <c r="R171"/>
    </row>
    <row r="172" spans="1:18" x14ac:dyDescent="0.45">
      <c r="A172">
        <f t="shared" si="2"/>
        <v>114</v>
      </c>
      <c r="B172" t="str">
        <f>VLOOKUP("project_id",ProjectHeaderInfoTalbe37_1[],2,FALSE)&amp;"-"&amp;"T"&amp;TEXT(TaskListTable14_1[[#This Row],[no]],"000")</f>
        <v>PJ-INFRA-26-01-T114</v>
      </c>
      <c r="C172" s="8"/>
      <c r="D172" s="8"/>
      <c r="E172" s="8"/>
      <c r="F172" s="8"/>
      <c r="G172" s="9"/>
      <c r="H172" s="9"/>
      <c r="I172" s="8"/>
      <c r="J172" s="8"/>
      <c r="K172" s="8"/>
      <c r="L172" s="8"/>
      <c r="M172" s="9"/>
      <c r="N172" s="8"/>
      <c r="O172" s="8"/>
      <c r="P172" t="str">
        <f>IF(TaskListTable14_1[[#This Row],[last_update]]&gt;VLOOKUP("LAST-MTG-DATE",DEF_Parameter!$A$3:$D$102,4,FALSE),"YES","")</f>
        <v/>
      </c>
      <c r="Q172"/>
      <c r="R172"/>
    </row>
    <row r="173" spans="1:18" x14ac:dyDescent="0.45">
      <c r="A173">
        <f t="shared" si="2"/>
        <v>115</v>
      </c>
      <c r="B173" t="str">
        <f>VLOOKUP("project_id",ProjectHeaderInfoTalbe37_1[],2,FALSE)&amp;"-"&amp;"T"&amp;TEXT(TaskListTable14_1[[#This Row],[no]],"000")</f>
        <v>PJ-INFRA-26-01-T115</v>
      </c>
      <c r="C173" s="8"/>
      <c r="D173" s="8"/>
      <c r="E173" s="8"/>
      <c r="F173" s="8"/>
      <c r="G173" s="9"/>
      <c r="H173" s="9"/>
      <c r="I173" s="8"/>
      <c r="J173" s="8"/>
      <c r="K173" s="8"/>
      <c r="L173" s="8"/>
      <c r="M173" s="9"/>
      <c r="N173" s="8"/>
      <c r="O173" s="8"/>
      <c r="P173" t="str">
        <f>IF(TaskListTable14_1[[#This Row],[last_update]]&gt;VLOOKUP("LAST-MTG-DATE",DEF_Parameter!$A$3:$D$102,4,FALSE),"YES","")</f>
        <v/>
      </c>
      <c r="Q173"/>
      <c r="R173"/>
    </row>
    <row r="174" spans="1:18" x14ac:dyDescent="0.45">
      <c r="A174">
        <f t="shared" si="2"/>
        <v>116</v>
      </c>
      <c r="B174" t="str">
        <f>VLOOKUP("project_id",ProjectHeaderInfoTalbe37_1[],2,FALSE)&amp;"-"&amp;"T"&amp;TEXT(TaskListTable14_1[[#This Row],[no]],"000")</f>
        <v>PJ-INFRA-26-01-T116</v>
      </c>
      <c r="C174" s="8"/>
      <c r="D174" s="8"/>
      <c r="E174" s="8"/>
      <c r="F174" s="8"/>
      <c r="G174" s="9"/>
      <c r="H174" s="9"/>
      <c r="I174" s="8"/>
      <c r="J174" s="8"/>
      <c r="K174" s="8"/>
      <c r="L174" s="8"/>
      <c r="M174" s="9"/>
      <c r="N174" s="8"/>
      <c r="O174" s="8"/>
      <c r="P174" t="str">
        <f>IF(TaskListTable14_1[[#This Row],[last_update]]&gt;VLOOKUP("LAST-MTG-DATE",DEF_Parameter!$A$3:$D$102,4,FALSE),"YES","")</f>
        <v/>
      </c>
      <c r="Q174"/>
      <c r="R174"/>
    </row>
    <row r="175" spans="1:18" x14ac:dyDescent="0.45">
      <c r="A175">
        <f t="shared" si="2"/>
        <v>117</v>
      </c>
      <c r="B175" t="str">
        <f>VLOOKUP("project_id",ProjectHeaderInfoTalbe37_1[],2,FALSE)&amp;"-"&amp;"T"&amp;TEXT(TaskListTable14_1[[#This Row],[no]],"000")</f>
        <v>PJ-INFRA-26-01-T117</v>
      </c>
      <c r="C175" s="8"/>
      <c r="D175" s="8"/>
      <c r="E175" s="8"/>
      <c r="F175" s="8"/>
      <c r="G175" s="9"/>
      <c r="H175" s="9"/>
      <c r="I175" s="8"/>
      <c r="J175" s="8"/>
      <c r="K175" s="8"/>
      <c r="L175" s="8"/>
      <c r="M175" s="9"/>
      <c r="N175" s="8"/>
      <c r="O175" s="8"/>
      <c r="P175" t="str">
        <f>IF(TaskListTable14_1[[#This Row],[last_update]]&gt;VLOOKUP("LAST-MTG-DATE",DEF_Parameter!$A$3:$D$102,4,FALSE),"YES","")</f>
        <v/>
      </c>
      <c r="Q175"/>
      <c r="R175"/>
    </row>
    <row r="176" spans="1:18" x14ac:dyDescent="0.45">
      <c r="A176">
        <f t="shared" si="2"/>
        <v>118</v>
      </c>
      <c r="B176" t="str">
        <f>VLOOKUP("project_id",ProjectHeaderInfoTalbe37_1[],2,FALSE)&amp;"-"&amp;"T"&amp;TEXT(TaskListTable14_1[[#This Row],[no]],"000")</f>
        <v>PJ-INFRA-26-01-T118</v>
      </c>
      <c r="C176" s="8"/>
      <c r="D176" s="8"/>
      <c r="E176" s="8"/>
      <c r="F176" s="8"/>
      <c r="G176" s="9"/>
      <c r="H176" s="9"/>
      <c r="I176" s="8"/>
      <c r="J176" s="8"/>
      <c r="K176" s="8"/>
      <c r="L176" s="8"/>
      <c r="M176" s="9"/>
      <c r="N176" s="8"/>
      <c r="O176" s="8"/>
      <c r="P176" t="str">
        <f>IF(TaskListTable14_1[[#This Row],[last_update]]&gt;VLOOKUP("LAST-MTG-DATE",DEF_Parameter!$A$3:$D$102,4,FALSE),"YES","")</f>
        <v/>
      </c>
      <c r="Q176"/>
      <c r="R176"/>
    </row>
    <row r="177" spans="1:18" x14ac:dyDescent="0.45">
      <c r="A177">
        <f t="shared" si="2"/>
        <v>119</v>
      </c>
      <c r="B177" t="str">
        <f>VLOOKUP("project_id",ProjectHeaderInfoTalbe37_1[],2,FALSE)&amp;"-"&amp;"T"&amp;TEXT(TaskListTable14_1[[#This Row],[no]],"000")</f>
        <v>PJ-INFRA-26-01-T119</v>
      </c>
      <c r="C177" s="8"/>
      <c r="D177" s="8"/>
      <c r="E177" s="8"/>
      <c r="F177" s="8"/>
      <c r="G177" s="9"/>
      <c r="H177" s="9"/>
      <c r="I177" s="8"/>
      <c r="J177" s="8"/>
      <c r="K177" s="8"/>
      <c r="L177" s="8"/>
      <c r="M177" s="9"/>
      <c r="N177" s="8"/>
      <c r="O177" s="8"/>
      <c r="P177" t="str">
        <f>IF(TaskListTable14_1[[#This Row],[last_update]]&gt;VLOOKUP("LAST-MTG-DATE",DEF_Parameter!$A$3:$D$102,4,FALSE),"YES","")</f>
        <v/>
      </c>
      <c r="Q177"/>
      <c r="R177"/>
    </row>
    <row r="178" spans="1:18" x14ac:dyDescent="0.45">
      <c r="A178">
        <f t="shared" si="2"/>
        <v>120</v>
      </c>
      <c r="B178" t="str">
        <f>VLOOKUP("project_id",ProjectHeaderInfoTalbe37_1[],2,FALSE)&amp;"-"&amp;"T"&amp;TEXT(TaskListTable14_1[[#This Row],[no]],"000")</f>
        <v>PJ-INFRA-26-01-T120</v>
      </c>
      <c r="C178" s="8"/>
      <c r="D178" s="8"/>
      <c r="E178" s="8"/>
      <c r="F178" s="8"/>
      <c r="G178" s="9"/>
      <c r="H178" s="9"/>
      <c r="I178" s="8"/>
      <c r="J178" s="8"/>
      <c r="K178" s="8"/>
      <c r="L178" s="8"/>
      <c r="M178" s="9"/>
      <c r="N178" s="8"/>
      <c r="O178" s="8"/>
      <c r="P178" t="str">
        <f>IF(TaskListTable14_1[[#This Row],[last_update]]&gt;VLOOKUP("LAST-MTG-DATE",DEF_Parameter!$A$3:$D$102,4,FALSE),"YES","")</f>
        <v/>
      </c>
      <c r="Q178"/>
      <c r="R178"/>
    </row>
    <row r="179" spans="1:18" x14ac:dyDescent="0.45">
      <c r="A179">
        <f t="shared" si="2"/>
        <v>121</v>
      </c>
      <c r="B179" t="str">
        <f>VLOOKUP("project_id",ProjectHeaderInfoTalbe37_1[],2,FALSE)&amp;"-"&amp;"T"&amp;TEXT(TaskListTable14_1[[#This Row],[no]],"000")</f>
        <v>PJ-INFRA-26-01-T121</v>
      </c>
      <c r="C179" s="8"/>
      <c r="D179" s="8"/>
      <c r="E179" s="8"/>
      <c r="F179" s="8"/>
      <c r="G179" s="9"/>
      <c r="H179" s="9"/>
      <c r="I179" s="8"/>
      <c r="J179" s="8"/>
      <c r="K179" s="8"/>
      <c r="L179" s="8"/>
      <c r="M179" s="9"/>
      <c r="N179" s="8"/>
      <c r="O179" s="8"/>
      <c r="P179" t="str">
        <f>IF(TaskListTable14_1[[#This Row],[last_update]]&gt;VLOOKUP("LAST-MTG-DATE",DEF_Parameter!$A$3:$D$102,4,FALSE),"YES","")</f>
        <v/>
      </c>
      <c r="Q179"/>
      <c r="R179"/>
    </row>
    <row r="180" spans="1:18" x14ac:dyDescent="0.45">
      <c r="A180">
        <f t="shared" si="2"/>
        <v>122</v>
      </c>
      <c r="B180" t="str">
        <f>VLOOKUP("project_id",ProjectHeaderInfoTalbe37_1[],2,FALSE)&amp;"-"&amp;"T"&amp;TEXT(TaskListTable14_1[[#This Row],[no]],"000")</f>
        <v>PJ-INFRA-26-01-T122</v>
      </c>
      <c r="C180" s="8"/>
      <c r="D180" s="8"/>
      <c r="E180" s="8"/>
      <c r="F180" s="8"/>
      <c r="G180" s="9"/>
      <c r="H180" s="9"/>
      <c r="I180" s="8"/>
      <c r="J180" s="8"/>
      <c r="K180" s="8"/>
      <c r="L180" s="8"/>
      <c r="M180" s="9"/>
      <c r="N180" s="8"/>
      <c r="O180" s="8"/>
      <c r="P180" t="str">
        <f>IF(TaskListTable14_1[[#This Row],[last_update]]&gt;VLOOKUP("LAST-MTG-DATE",DEF_Parameter!$A$3:$D$102,4,FALSE),"YES","")</f>
        <v/>
      </c>
      <c r="Q180"/>
      <c r="R180"/>
    </row>
    <row r="181" spans="1:18" x14ac:dyDescent="0.45">
      <c r="A181">
        <f t="shared" si="2"/>
        <v>123</v>
      </c>
      <c r="B181" t="str">
        <f>VLOOKUP("project_id",ProjectHeaderInfoTalbe37_1[],2,FALSE)&amp;"-"&amp;"T"&amp;TEXT(TaskListTable14_1[[#This Row],[no]],"000")</f>
        <v>PJ-INFRA-26-01-T123</v>
      </c>
      <c r="C181" s="8"/>
      <c r="D181" s="8"/>
      <c r="E181" s="8"/>
      <c r="F181" s="8"/>
      <c r="G181" s="9"/>
      <c r="H181" s="9"/>
      <c r="I181" s="8"/>
      <c r="J181" s="8"/>
      <c r="K181" s="8"/>
      <c r="L181" s="8"/>
      <c r="M181" s="9"/>
      <c r="N181" s="8"/>
      <c r="O181" s="8"/>
      <c r="P181" t="str">
        <f>IF(TaskListTable14_1[[#This Row],[last_update]]&gt;VLOOKUP("LAST-MTG-DATE",DEF_Parameter!$A$3:$D$102,4,FALSE),"YES","")</f>
        <v/>
      </c>
      <c r="Q181"/>
      <c r="R181"/>
    </row>
    <row r="182" spans="1:18" x14ac:dyDescent="0.45">
      <c r="A182">
        <f t="shared" si="2"/>
        <v>124</v>
      </c>
      <c r="B182" t="str">
        <f>VLOOKUP("project_id",ProjectHeaderInfoTalbe37_1[],2,FALSE)&amp;"-"&amp;"T"&amp;TEXT(TaskListTable14_1[[#This Row],[no]],"000")</f>
        <v>PJ-INFRA-26-01-T124</v>
      </c>
      <c r="C182" s="8"/>
      <c r="D182" s="8"/>
      <c r="E182" s="8"/>
      <c r="F182" s="8"/>
      <c r="G182" s="9"/>
      <c r="H182" s="9"/>
      <c r="I182" s="8"/>
      <c r="J182" s="8"/>
      <c r="K182" s="8"/>
      <c r="L182" s="8"/>
      <c r="M182" s="9"/>
      <c r="N182" s="8"/>
      <c r="O182" s="8"/>
      <c r="P182" t="str">
        <f>IF(TaskListTable14_1[[#This Row],[last_update]]&gt;VLOOKUP("LAST-MTG-DATE",DEF_Parameter!$A$3:$D$102,4,FALSE),"YES","")</f>
        <v/>
      </c>
      <c r="Q182"/>
      <c r="R182"/>
    </row>
    <row r="183" spans="1:18" x14ac:dyDescent="0.45">
      <c r="A183">
        <f t="shared" si="2"/>
        <v>125</v>
      </c>
      <c r="B183" t="str">
        <f>VLOOKUP("project_id",ProjectHeaderInfoTalbe37_1[],2,FALSE)&amp;"-"&amp;"T"&amp;TEXT(TaskListTable14_1[[#This Row],[no]],"000")</f>
        <v>PJ-INFRA-26-01-T125</v>
      </c>
      <c r="C183" s="8"/>
      <c r="D183" s="8"/>
      <c r="E183" s="8"/>
      <c r="F183" s="8"/>
      <c r="G183" s="9"/>
      <c r="H183" s="9"/>
      <c r="I183" s="8"/>
      <c r="J183" s="8"/>
      <c r="K183" s="8"/>
      <c r="L183" s="8"/>
      <c r="M183" s="9"/>
      <c r="N183" s="8"/>
      <c r="O183" s="8"/>
      <c r="P183" t="str">
        <f>IF(TaskListTable14_1[[#This Row],[last_update]]&gt;VLOOKUP("LAST-MTG-DATE",DEF_Parameter!$A$3:$D$102,4,FALSE),"YES","")</f>
        <v/>
      </c>
      <c r="Q183"/>
      <c r="R183"/>
    </row>
    <row r="184" spans="1:18" x14ac:dyDescent="0.45">
      <c r="A184">
        <f t="shared" si="2"/>
        <v>126</v>
      </c>
      <c r="B184" t="str">
        <f>VLOOKUP("project_id",ProjectHeaderInfoTalbe37_1[],2,FALSE)&amp;"-"&amp;"T"&amp;TEXT(TaskListTable14_1[[#This Row],[no]],"000")</f>
        <v>PJ-INFRA-26-01-T126</v>
      </c>
      <c r="C184" s="8"/>
      <c r="D184" s="8"/>
      <c r="E184" s="8"/>
      <c r="F184" s="8"/>
      <c r="G184" s="9"/>
      <c r="H184" s="9"/>
      <c r="I184" s="8"/>
      <c r="J184" s="8"/>
      <c r="K184" s="8"/>
      <c r="L184" s="8"/>
      <c r="M184" s="9"/>
      <c r="N184" s="8"/>
      <c r="O184" s="8"/>
      <c r="P184" t="str">
        <f>IF(TaskListTable14_1[[#This Row],[last_update]]&gt;VLOOKUP("LAST-MTG-DATE",DEF_Parameter!$A$3:$D$102,4,FALSE),"YES","")</f>
        <v/>
      </c>
      <c r="Q184"/>
      <c r="R184"/>
    </row>
    <row r="185" spans="1:18" x14ac:dyDescent="0.45">
      <c r="A185">
        <f t="shared" si="2"/>
        <v>127</v>
      </c>
      <c r="B185" t="str">
        <f>VLOOKUP("project_id",ProjectHeaderInfoTalbe37_1[],2,FALSE)&amp;"-"&amp;"T"&amp;TEXT(TaskListTable14_1[[#This Row],[no]],"000")</f>
        <v>PJ-INFRA-26-01-T127</v>
      </c>
      <c r="C185" s="8"/>
      <c r="D185" s="8"/>
      <c r="E185" s="8"/>
      <c r="F185" s="8"/>
      <c r="G185" s="9"/>
      <c r="H185" s="9"/>
      <c r="I185" s="8"/>
      <c r="J185" s="8"/>
      <c r="K185" s="8"/>
      <c r="L185" s="8"/>
      <c r="M185" s="9"/>
      <c r="N185" s="8"/>
      <c r="O185" s="8"/>
      <c r="P185" t="str">
        <f>IF(TaskListTable14_1[[#This Row],[last_update]]&gt;VLOOKUP("LAST-MTG-DATE",DEF_Parameter!$A$3:$D$102,4,FALSE),"YES","")</f>
        <v/>
      </c>
      <c r="Q185"/>
      <c r="R185"/>
    </row>
    <row r="186" spans="1:18" x14ac:dyDescent="0.45">
      <c r="A186">
        <f t="shared" si="2"/>
        <v>128</v>
      </c>
      <c r="B186" t="str">
        <f>VLOOKUP("project_id",ProjectHeaderInfoTalbe37_1[],2,FALSE)&amp;"-"&amp;"T"&amp;TEXT(TaskListTable14_1[[#This Row],[no]],"000")</f>
        <v>PJ-INFRA-26-01-T128</v>
      </c>
      <c r="C186" s="8"/>
      <c r="D186" s="8"/>
      <c r="E186" s="8"/>
      <c r="F186" s="8"/>
      <c r="G186" s="9"/>
      <c r="H186" s="9"/>
      <c r="I186" s="8"/>
      <c r="J186" s="8"/>
      <c r="K186" s="8"/>
      <c r="L186" s="8"/>
      <c r="M186" s="9"/>
      <c r="N186" s="8"/>
      <c r="O186" s="8"/>
      <c r="P186" t="str">
        <f>IF(TaskListTable14_1[[#This Row],[last_update]]&gt;VLOOKUP("LAST-MTG-DATE",DEF_Parameter!$A$3:$D$102,4,FALSE),"YES","")</f>
        <v/>
      </c>
      <c r="Q186"/>
      <c r="R186"/>
    </row>
    <row r="187" spans="1:18" x14ac:dyDescent="0.45">
      <c r="A187">
        <f t="shared" si="2"/>
        <v>129</v>
      </c>
      <c r="B187" t="str">
        <f>VLOOKUP("project_id",ProjectHeaderInfoTalbe37_1[],2,FALSE)&amp;"-"&amp;"T"&amp;TEXT(TaskListTable14_1[[#This Row],[no]],"000")</f>
        <v>PJ-INFRA-26-01-T129</v>
      </c>
      <c r="C187" s="8"/>
      <c r="D187" s="8"/>
      <c r="E187" s="8"/>
      <c r="F187" s="8"/>
      <c r="G187" s="9"/>
      <c r="H187" s="9"/>
      <c r="I187" s="8"/>
      <c r="J187" s="8"/>
      <c r="K187" s="8"/>
      <c r="L187" s="8"/>
      <c r="M187" s="9"/>
      <c r="N187" s="8"/>
      <c r="O187" s="8"/>
      <c r="P187" t="str">
        <f>IF(TaskListTable14_1[[#This Row],[last_update]]&gt;VLOOKUP("LAST-MTG-DATE",DEF_Parameter!$A$3:$D$102,4,FALSE),"YES","")</f>
        <v/>
      </c>
      <c r="Q187"/>
      <c r="R187"/>
    </row>
    <row r="188" spans="1:18" x14ac:dyDescent="0.45">
      <c r="A188">
        <f t="shared" ref="A188:A251" si="3">A187+1</f>
        <v>130</v>
      </c>
      <c r="B188" t="str">
        <f>VLOOKUP("project_id",ProjectHeaderInfoTalbe37_1[],2,FALSE)&amp;"-"&amp;"T"&amp;TEXT(TaskListTable14_1[[#This Row],[no]],"000")</f>
        <v>PJ-INFRA-26-01-T130</v>
      </c>
      <c r="C188" s="8"/>
      <c r="D188" s="8"/>
      <c r="E188" s="8"/>
      <c r="F188" s="8"/>
      <c r="G188" s="9"/>
      <c r="H188" s="9"/>
      <c r="I188" s="8"/>
      <c r="J188" s="8"/>
      <c r="K188" s="8"/>
      <c r="L188" s="8"/>
      <c r="M188" s="9"/>
      <c r="N188" s="8"/>
      <c r="O188" s="8"/>
      <c r="P188" t="str">
        <f>IF(TaskListTable14_1[[#This Row],[last_update]]&gt;VLOOKUP("LAST-MTG-DATE",DEF_Parameter!$A$3:$D$102,4,FALSE),"YES","")</f>
        <v/>
      </c>
      <c r="Q188"/>
      <c r="R188"/>
    </row>
    <row r="189" spans="1:18" x14ac:dyDescent="0.45">
      <c r="A189">
        <f t="shared" si="3"/>
        <v>131</v>
      </c>
      <c r="B189" t="str">
        <f>VLOOKUP("project_id",ProjectHeaderInfoTalbe37_1[],2,FALSE)&amp;"-"&amp;"T"&amp;TEXT(TaskListTable14_1[[#This Row],[no]],"000")</f>
        <v>PJ-INFRA-26-01-T131</v>
      </c>
      <c r="C189" s="8"/>
      <c r="D189" s="8"/>
      <c r="E189" s="8"/>
      <c r="F189" s="8"/>
      <c r="G189" s="9"/>
      <c r="H189" s="9"/>
      <c r="I189" s="8"/>
      <c r="J189" s="8"/>
      <c r="K189" s="8"/>
      <c r="L189" s="8"/>
      <c r="M189" s="9"/>
      <c r="N189" s="8"/>
      <c r="O189" s="8"/>
      <c r="P189" t="str">
        <f>IF(TaskListTable14_1[[#This Row],[last_update]]&gt;VLOOKUP("LAST-MTG-DATE",DEF_Parameter!$A$3:$D$102,4,FALSE),"YES","")</f>
        <v/>
      </c>
      <c r="Q189"/>
      <c r="R189"/>
    </row>
    <row r="190" spans="1:18" x14ac:dyDescent="0.45">
      <c r="A190">
        <f t="shared" si="3"/>
        <v>132</v>
      </c>
      <c r="B190" t="str">
        <f>VLOOKUP("project_id",ProjectHeaderInfoTalbe37_1[],2,FALSE)&amp;"-"&amp;"T"&amp;TEXT(TaskListTable14_1[[#This Row],[no]],"000")</f>
        <v>PJ-INFRA-26-01-T132</v>
      </c>
      <c r="C190" s="8"/>
      <c r="D190" s="8"/>
      <c r="E190" s="8"/>
      <c r="F190" s="8"/>
      <c r="G190" s="9"/>
      <c r="H190" s="9"/>
      <c r="I190" s="8"/>
      <c r="J190" s="8"/>
      <c r="K190" s="8"/>
      <c r="L190" s="8"/>
      <c r="M190" s="9"/>
      <c r="N190" s="8"/>
      <c r="O190" s="8"/>
      <c r="P190" t="str">
        <f>IF(TaskListTable14_1[[#This Row],[last_update]]&gt;VLOOKUP("LAST-MTG-DATE",DEF_Parameter!$A$3:$D$102,4,FALSE),"YES","")</f>
        <v/>
      </c>
      <c r="Q190"/>
      <c r="R190"/>
    </row>
    <row r="191" spans="1:18" x14ac:dyDescent="0.45">
      <c r="A191">
        <f t="shared" si="3"/>
        <v>133</v>
      </c>
      <c r="B191" t="str">
        <f>VLOOKUP("project_id",ProjectHeaderInfoTalbe37_1[],2,FALSE)&amp;"-"&amp;"T"&amp;TEXT(TaskListTable14_1[[#This Row],[no]],"000")</f>
        <v>PJ-INFRA-26-01-T133</v>
      </c>
      <c r="C191" s="8"/>
      <c r="D191" s="8"/>
      <c r="E191" s="8"/>
      <c r="F191" s="8"/>
      <c r="G191" s="9"/>
      <c r="H191" s="9"/>
      <c r="I191" s="8"/>
      <c r="J191" s="8"/>
      <c r="K191" s="8"/>
      <c r="L191" s="8"/>
      <c r="M191" s="9"/>
      <c r="N191" s="8"/>
      <c r="O191" s="8"/>
      <c r="P191" t="str">
        <f>IF(TaskListTable14_1[[#This Row],[last_update]]&gt;VLOOKUP("LAST-MTG-DATE",DEF_Parameter!$A$3:$D$102,4,FALSE),"YES","")</f>
        <v/>
      </c>
      <c r="Q191"/>
      <c r="R191"/>
    </row>
    <row r="192" spans="1:18" x14ac:dyDescent="0.45">
      <c r="A192">
        <f t="shared" si="3"/>
        <v>134</v>
      </c>
      <c r="B192" t="str">
        <f>VLOOKUP("project_id",ProjectHeaderInfoTalbe37_1[],2,FALSE)&amp;"-"&amp;"T"&amp;TEXT(TaskListTable14_1[[#This Row],[no]],"000")</f>
        <v>PJ-INFRA-26-01-T134</v>
      </c>
      <c r="C192" s="8"/>
      <c r="D192" s="8"/>
      <c r="E192" s="8"/>
      <c r="F192" s="8"/>
      <c r="G192" s="9"/>
      <c r="H192" s="9"/>
      <c r="I192" s="8"/>
      <c r="J192" s="8"/>
      <c r="K192" s="8"/>
      <c r="L192" s="8"/>
      <c r="M192" s="9"/>
      <c r="N192" s="8"/>
      <c r="O192" s="8"/>
      <c r="P192" t="str">
        <f>IF(TaskListTable14_1[[#This Row],[last_update]]&gt;VLOOKUP("LAST-MTG-DATE",DEF_Parameter!$A$3:$D$102,4,FALSE),"YES","")</f>
        <v/>
      </c>
      <c r="Q192"/>
      <c r="R192"/>
    </row>
    <row r="193" spans="1:18" x14ac:dyDescent="0.45">
      <c r="A193">
        <f t="shared" si="3"/>
        <v>135</v>
      </c>
      <c r="B193" t="str">
        <f>VLOOKUP("project_id",ProjectHeaderInfoTalbe37_1[],2,FALSE)&amp;"-"&amp;"T"&amp;TEXT(TaskListTable14_1[[#This Row],[no]],"000")</f>
        <v>PJ-INFRA-26-01-T135</v>
      </c>
      <c r="C193" s="8"/>
      <c r="D193" s="8"/>
      <c r="E193" s="8"/>
      <c r="F193" s="8"/>
      <c r="G193" s="9"/>
      <c r="H193" s="9"/>
      <c r="I193" s="8"/>
      <c r="J193" s="8"/>
      <c r="K193" s="8"/>
      <c r="L193" s="8"/>
      <c r="M193" s="9"/>
      <c r="N193" s="8"/>
      <c r="O193" s="8"/>
      <c r="P193" t="str">
        <f>IF(TaskListTable14_1[[#This Row],[last_update]]&gt;VLOOKUP("LAST-MTG-DATE",DEF_Parameter!$A$3:$D$102,4,FALSE),"YES","")</f>
        <v/>
      </c>
      <c r="Q193"/>
      <c r="R193"/>
    </row>
    <row r="194" spans="1:18" x14ac:dyDescent="0.45">
      <c r="A194">
        <f t="shared" si="3"/>
        <v>136</v>
      </c>
      <c r="B194" t="str">
        <f>VLOOKUP("project_id",ProjectHeaderInfoTalbe37_1[],2,FALSE)&amp;"-"&amp;"T"&amp;TEXT(TaskListTable14_1[[#This Row],[no]],"000")</f>
        <v>PJ-INFRA-26-01-T136</v>
      </c>
      <c r="C194" s="8"/>
      <c r="D194" s="8"/>
      <c r="E194" s="8"/>
      <c r="F194" s="8"/>
      <c r="G194" s="9"/>
      <c r="H194" s="9"/>
      <c r="I194" s="8"/>
      <c r="J194" s="8"/>
      <c r="K194" s="8"/>
      <c r="L194" s="8"/>
      <c r="M194" s="9"/>
      <c r="N194" s="8"/>
      <c r="O194" s="8"/>
      <c r="P194" t="str">
        <f>IF(TaskListTable14_1[[#This Row],[last_update]]&gt;VLOOKUP("LAST-MTG-DATE",DEF_Parameter!$A$3:$D$102,4,FALSE),"YES","")</f>
        <v/>
      </c>
      <c r="Q194"/>
      <c r="R194"/>
    </row>
    <row r="195" spans="1:18" x14ac:dyDescent="0.45">
      <c r="A195">
        <f t="shared" si="3"/>
        <v>137</v>
      </c>
      <c r="B195" t="str">
        <f>VLOOKUP("project_id",ProjectHeaderInfoTalbe37_1[],2,FALSE)&amp;"-"&amp;"T"&amp;TEXT(TaskListTable14_1[[#This Row],[no]],"000")</f>
        <v>PJ-INFRA-26-01-T137</v>
      </c>
      <c r="C195" s="8"/>
      <c r="D195" s="8"/>
      <c r="E195" s="8"/>
      <c r="F195" s="8"/>
      <c r="G195" s="9"/>
      <c r="H195" s="9"/>
      <c r="I195" s="8"/>
      <c r="J195" s="8"/>
      <c r="K195" s="8"/>
      <c r="L195" s="8"/>
      <c r="M195" s="9"/>
      <c r="N195" s="8"/>
      <c r="O195" s="8"/>
      <c r="P195" t="str">
        <f>IF(TaskListTable14_1[[#This Row],[last_update]]&gt;VLOOKUP("LAST-MTG-DATE",DEF_Parameter!$A$3:$D$102,4,FALSE),"YES","")</f>
        <v/>
      </c>
      <c r="Q195"/>
      <c r="R195"/>
    </row>
    <row r="196" spans="1:18" x14ac:dyDescent="0.45">
      <c r="A196">
        <f t="shared" si="3"/>
        <v>138</v>
      </c>
      <c r="B196" t="str">
        <f>VLOOKUP("project_id",ProjectHeaderInfoTalbe37_1[],2,FALSE)&amp;"-"&amp;"T"&amp;TEXT(TaskListTable14_1[[#This Row],[no]],"000")</f>
        <v>PJ-INFRA-26-01-T138</v>
      </c>
      <c r="C196" s="8"/>
      <c r="D196" s="8"/>
      <c r="E196" s="8"/>
      <c r="F196" s="8"/>
      <c r="G196" s="9"/>
      <c r="H196" s="9"/>
      <c r="I196" s="8"/>
      <c r="J196" s="8"/>
      <c r="K196" s="8"/>
      <c r="L196" s="8"/>
      <c r="M196" s="9"/>
      <c r="N196" s="8"/>
      <c r="O196" s="8"/>
      <c r="P196" t="str">
        <f>IF(TaskListTable14_1[[#This Row],[last_update]]&gt;VLOOKUP("LAST-MTG-DATE",DEF_Parameter!$A$3:$D$102,4,FALSE),"YES","")</f>
        <v/>
      </c>
      <c r="Q196"/>
      <c r="R196"/>
    </row>
    <row r="197" spans="1:18" x14ac:dyDescent="0.45">
      <c r="A197">
        <f t="shared" si="3"/>
        <v>139</v>
      </c>
      <c r="B197" t="str">
        <f>VLOOKUP("project_id",ProjectHeaderInfoTalbe37_1[],2,FALSE)&amp;"-"&amp;"T"&amp;TEXT(TaskListTable14_1[[#This Row],[no]],"000")</f>
        <v>PJ-INFRA-26-01-T139</v>
      </c>
      <c r="C197" s="8"/>
      <c r="D197" s="8"/>
      <c r="E197" s="8"/>
      <c r="F197" s="8"/>
      <c r="G197" s="9"/>
      <c r="H197" s="9"/>
      <c r="I197" s="8"/>
      <c r="J197" s="8"/>
      <c r="K197" s="8"/>
      <c r="L197" s="8"/>
      <c r="M197" s="9"/>
      <c r="N197" s="8"/>
      <c r="O197" s="8"/>
      <c r="P197" t="str">
        <f>IF(TaskListTable14_1[[#This Row],[last_update]]&gt;VLOOKUP("LAST-MTG-DATE",DEF_Parameter!$A$3:$D$102,4,FALSE),"YES","")</f>
        <v/>
      </c>
      <c r="Q197"/>
      <c r="R197"/>
    </row>
    <row r="198" spans="1:18" x14ac:dyDescent="0.45">
      <c r="A198">
        <f t="shared" si="3"/>
        <v>140</v>
      </c>
      <c r="B198" t="str">
        <f>VLOOKUP("project_id",ProjectHeaderInfoTalbe37_1[],2,FALSE)&amp;"-"&amp;"T"&amp;TEXT(TaskListTable14_1[[#This Row],[no]],"000")</f>
        <v>PJ-INFRA-26-01-T140</v>
      </c>
      <c r="C198" s="8"/>
      <c r="D198" s="8"/>
      <c r="E198" s="8"/>
      <c r="F198" s="8"/>
      <c r="G198" s="9"/>
      <c r="H198" s="9"/>
      <c r="I198" s="8"/>
      <c r="J198" s="8"/>
      <c r="K198" s="8"/>
      <c r="L198" s="8"/>
      <c r="M198" s="9"/>
      <c r="N198" s="8"/>
      <c r="O198" s="8"/>
      <c r="P198" t="str">
        <f>IF(TaskListTable14_1[[#This Row],[last_update]]&gt;VLOOKUP("LAST-MTG-DATE",DEF_Parameter!$A$3:$D$102,4,FALSE),"YES","")</f>
        <v/>
      </c>
      <c r="Q198"/>
      <c r="R198"/>
    </row>
    <row r="199" spans="1:18" x14ac:dyDescent="0.45">
      <c r="A199">
        <f t="shared" si="3"/>
        <v>141</v>
      </c>
      <c r="B199" t="str">
        <f>VLOOKUP("project_id",ProjectHeaderInfoTalbe37_1[],2,FALSE)&amp;"-"&amp;"T"&amp;TEXT(TaskListTable14_1[[#This Row],[no]],"000")</f>
        <v>PJ-INFRA-26-01-T141</v>
      </c>
      <c r="C199" s="8"/>
      <c r="D199" s="8"/>
      <c r="E199" s="8"/>
      <c r="F199" s="8"/>
      <c r="G199" s="9"/>
      <c r="H199" s="9"/>
      <c r="I199" s="8"/>
      <c r="J199" s="8"/>
      <c r="K199" s="8"/>
      <c r="L199" s="8"/>
      <c r="M199" s="9"/>
      <c r="N199" s="8"/>
      <c r="O199" s="8"/>
      <c r="P199" t="str">
        <f>IF(TaskListTable14_1[[#This Row],[last_update]]&gt;VLOOKUP("LAST-MTG-DATE",DEF_Parameter!$A$3:$D$102,4,FALSE),"YES","")</f>
        <v/>
      </c>
      <c r="Q199"/>
      <c r="R199"/>
    </row>
    <row r="200" spans="1:18" x14ac:dyDescent="0.45">
      <c r="A200">
        <f t="shared" si="3"/>
        <v>142</v>
      </c>
      <c r="B200" t="str">
        <f>VLOOKUP("project_id",ProjectHeaderInfoTalbe37_1[],2,FALSE)&amp;"-"&amp;"T"&amp;TEXT(TaskListTable14_1[[#This Row],[no]],"000")</f>
        <v>PJ-INFRA-26-01-T142</v>
      </c>
      <c r="C200" s="8"/>
      <c r="D200" s="8"/>
      <c r="E200" s="8"/>
      <c r="F200" s="8"/>
      <c r="G200" s="9"/>
      <c r="H200" s="9"/>
      <c r="I200" s="8"/>
      <c r="J200" s="8"/>
      <c r="K200" s="8"/>
      <c r="L200" s="8"/>
      <c r="M200" s="9"/>
      <c r="N200" s="8"/>
      <c r="O200" s="8"/>
      <c r="P200" t="str">
        <f>IF(TaskListTable14_1[[#This Row],[last_update]]&gt;VLOOKUP("LAST-MTG-DATE",DEF_Parameter!$A$3:$D$102,4,FALSE),"YES","")</f>
        <v/>
      </c>
      <c r="Q200"/>
      <c r="R200"/>
    </row>
    <row r="201" spans="1:18" x14ac:dyDescent="0.45">
      <c r="A201">
        <f t="shared" si="3"/>
        <v>143</v>
      </c>
      <c r="B201" t="str">
        <f>VLOOKUP("project_id",ProjectHeaderInfoTalbe37_1[],2,FALSE)&amp;"-"&amp;"T"&amp;TEXT(TaskListTable14_1[[#This Row],[no]],"000")</f>
        <v>PJ-INFRA-26-01-T143</v>
      </c>
      <c r="C201" s="8"/>
      <c r="D201" s="8"/>
      <c r="E201" s="8"/>
      <c r="F201" s="8"/>
      <c r="G201" s="9"/>
      <c r="H201" s="9"/>
      <c r="I201" s="8"/>
      <c r="J201" s="8"/>
      <c r="K201" s="8"/>
      <c r="L201" s="8"/>
      <c r="M201" s="9"/>
      <c r="N201" s="8"/>
      <c r="O201" s="8"/>
      <c r="P201" t="str">
        <f>IF(TaskListTable14_1[[#This Row],[last_update]]&gt;VLOOKUP("LAST-MTG-DATE",DEF_Parameter!$A$3:$D$102,4,FALSE),"YES","")</f>
        <v/>
      </c>
      <c r="Q201"/>
      <c r="R201"/>
    </row>
    <row r="202" spans="1:18" x14ac:dyDescent="0.45">
      <c r="A202">
        <f t="shared" si="3"/>
        <v>144</v>
      </c>
      <c r="B202" t="str">
        <f>VLOOKUP("project_id",ProjectHeaderInfoTalbe37_1[],2,FALSE)&amp;"-"&amp;"T"&amp;TEXT(TaskListTable14_1[[#This Row],[no]],"000")</f>
        <v>PJ-INFRA-26-01-T144</v>
      </c>
      <c r="C202" s="8"/>
      <c r="D202" s="8"/>
      <c r="E202" s="8"/>
      <c r="F202" s="8"/>
      <c r="G202" s="9"/>
      <c r="H202" s="9"/>
      <c r="I202" s="8"/>
      <c r="J202" s="8"/>
      <c r="K202" s="8"/>
      <c r="L202" s="8"/>
      <c r="M202" s="9"/>
      <c r="N202" s="8"/>
      <c r="O202" s="8"/>
      <c r="P202" t="str">
        <f>IF(TaskListTable14_1[[#This Row],[last_update]]&gt;VLOOKUP("LAST-MTG-DATE",DEF_Parameter!$A$3:$D$102,4,FALSE),"YES","")</f>
        <v/>
      </c>
      <c r="Q202"/>
      <c r="R202"/>
    </row>
    <row r="203" spans="1:18" x14ac:dyDescent="0.45">
      <c r="A203">
        <f t="shared" si="3"/>
        <v>145</v>
      </c>
      <c r="B203" t="str">
        <f>VLOOKUP("project_id",ProjectHeaderInfoTalbe37_1[],2,FALSE)&amp;"-"&amp;"T"&amp;TEXT(TaskListTable14_1[[#This Row],[no]],"000")</f>
        <v>PJ-INFRA-26-01-T145</v>
      </c>
      <c r="C203" s="8"/>
      <c r="D203" s="8"/>
      <c r="E203" s="8"/>
      <c r="F203" s="8"/>
      <c r="G203" s="9"/>
      <c r="H203" s="9"/>
      <c r="I203" s="8"/>
      <c r="J203" s="8"/>
      <c r="K203" s="8"/>
      <c r="L203" s="8"/>
      <c r="M203" s="9"/>
      <c r="N203" s="8"/>
      <c r="O203" s="8"/>
      <c r="P203" t="str">
        <f>IF(TaskListTable14_1[[#This Row],[last_update]]&gt;VLOOKUP("LAST-MTG-DATE",DEF_Parameter!$A$3:$D$102,4,FALSE),"YES","")</f>
        <v/>
      </c>
      <c r="Q203"/>
      <c r="R203"/>
    </row>
    <row r="204" spans="1:18" x14ac:dyDescent="0.45">
      <c r="A204">
        <f t="shared" si="3"/>
        <v>146</v>
      </c>
      <c r="B204" t="str">
        <f>VLOOKUP("project_id",ProjectHeaderInfoTalbe37_1[],2,FALSE)&amp;"-"&amp;"T"&amp;TEXT(TaskListTable14_1[[#This Row],[no]],"000")</f>
        <v>PJ-INFRA-26-01-T146</v>
      </c>
      <c r="C204" s="8"/>
      <c r="D204" s="8"/>
      <c r="E204" s="8"/>
      <c r="F204" s="8"/>
      <c r="G204" s="9"/>
      <c r="H204" s="9"/>
      <c r="I204" s="8"/>
      <c r="J204" s="8"/>
      <c r="K204" s="8"/>
      <c r="L204" s="8"/>
      <c r="M204" s="9"/>
      <c r="N204" s="8"/>
      <c r="O204" s="8"/>
      <c r="P204" t="str">
        <f>IF(TaskListTable14_1[[#This Row],[last_update]]&gt;VLOOKUP("LAST-MTG-DATE",DEF_Parameter!$A$3:$D$102,4,FALSE),"YES","")</f>
        <v/>
      </c>
      <c r="Q204"/>
      <c r="R204"/>
    </row>
    <row r="205" spans="1:18" x14ac:dyDescent="0.45">
      <c r="A205">
        <f t="shared" si="3"/>
        <v>147</v>
      </c>
      <c r="B205" t="str">
        <f>VLOOKUP("project_id",ProjectHeaderInfoTalbe37_1[],2,FALSE)&amp;"-"&amp;"T"&amp;TEXT(TaskListTable14_1[[#This Row],[no]],"000")</f>
        <v>PJ-INFRA-26-01-T147</v>
      </c>
      <c r="C205" s="8"/>
      <c r="D205" s="8"/>
      <c r="E205" s="8"/>
      <c r="F205" s="8"/>
      <c r="G205" s="9"/>
      <c r="H205" s="9"/>
      <c r="I205" s="8"/>
      <c r="J205" s="8"/>
      <c r="K205" s="8"/>
      <c r="L205" s="8"/>
      <c r="M205" s="9"/>
      <c r="N205" s="8"/>
      <c r="O205" s="8"/>
      <c r="P205" t="str">
        <f>IF(TaskListTable14_1[[#This Row],[last_update]]&gt;VLOOKUP("LAST-MTG-DATE",DEF_Parameter!$A$3:$D$102,4,FALSE),"YES","")</f>
        <v/>
      </c>
      <c r="Q205"/>
      <c r="R205"/>
    </row>
    <row r="206" spans="1:18" x14ac:dyDescent="0.45">
      <c r="A206">
        <f t="shared" si="3"/>
        <v>148</v>
      </c>
      <c r="B206" t="str">
        <f>VLOOKUP("project_id",ProjectHeaderInfoTalbe37_1[],2,FALSE)&amp;"-"&amp;"T"&amp;TEXT(TaskListTable14_1[[#This Row],[no]],"000")</f>
        <v>PJ-INFRA-26-01-T148</v>
      </c>
      <c r="C206" s="8"/>
      <c r="D206" s="8"/>
      <c r="E206" s="8"/>
      <c r="F206" s="8"/>
      <c r="G206" s="9"/>
      <c r="H206" s="9"/>
      <c r="I206" s="8"/>
      <c r="J206" s="8"/>
      <c r="K206" s="8"/>
      <c r="L206" s="8"/>
      <c r="M206" s="9"/>
      <c r="N206" s="8"/>
      <c r="O206" s="8"/>
      <c r="P206" t="str">
        <f>IF(TaskListTable14_1[[#This Row],[last_update]]&gt;VLOOKUP("LAST-MTG-DATE",DEF_Parameter!$A$3:$D$102,4,FALSE),"YES","")</f>
        <v/>
      </c>
      <c r="Q206"/>
      <c r="R206"/>
    </row>
    <row r="207" spans="1:18" x14ac:dyDescent="0.45">
      <c r="A207">
        <f t="shared" si="3"/>
        <v>149</v>
      </c>
      <c r="B207" t="str">
        <f>VLOOKUP("project_id",ProjectHeaderInfoTalbe37_1[],2,FALSE)&amp;"-"&amp;"T"&amp;TEXT(TaskListTable14_1[[#This Row],[no]],"000")</f>
        <v>PJ-INFRA-26-01-T149</v>
      </c>
      <c r="C207" s="8"/>
      <c r="D207" s="8"/>
      <c r="E207" s="8"/>
      <c r="F207" s="8"/>
      <c r="G207" s="9"/>
      <c r="H207" s="9"/>
      <c r="I207" s="8"/>
      <c r="J207" s="8"/>
      <c r="K207" s="8"/>
      <c r="L207" s="8"/>
      <c r="M207" s="9"/>
      <c r="N207" s="8"/>
      <c r="O207" s="8"/>
      <c r="P207" t="str">
        <f>IF(TaskListTable14_1[[#This Row],[last_update]]&gt;VLOOKUP("LAST-MTG-DATE",DEF_Parameter!$A$3:$D$102,4,FALSE),"YES","")</f>
        <v/>
      </c>
      <c r="Q207"/>
      <c r="R207"/>
    </row>
    <row r="208" spans="1:18" x14ac:dyDescent="0.45">
      <c r="A208">
        <f t="shared" si="3"/>
        <v>150</v>
      </c>
      <c r="B208" t="str">
        <f>VLOOKUP("project_id",ProjectHeaderInfoTalbe37_1[],2,FALSE)&amp;"-"&amp;"T"&amp;TEXT(TaskListTable14_1[[#This Row],[no]],"000")</f>
        <v>PJ-INFRA-26-01-T150</v>
      </c>
      <c r="C208" s="8"/>
      <c r="D208" s="8"/>
      <c r="E208" s="8"/>
      <c r="F208" s="8"/>
      <c r="G208" s="9"/>
      <c r="H208" s="9"/>
      <c r="I208" s="8"/>
      <c r="J208" s="8"/>
      <c r="K208" s="8"/>
      <c r="L208" s="8"/>
      <c r="M208" s="9"/>
      <c r="N208" s="8"/>
      <c r="O208" s="8"/>
      <c r="P208" t="str">
        <f>IF(TaskListTable14_1[[#This Row],[last_update]]&gt;VLOOKUP("LAST-MTG-DATE",DEF_Parameter!$A$3:$D$102,4,FALSE),"YES","")</f>
        <v/>
      </c>
      <c r="Q208"/>
      <c r="R208"/>
    </row>
    <row r="209" spans="1:18" x14ac:dyDescent="0.45">
      <c r="A209">
        <f t="shared" si="3"/>
        <v>151</v>
      </c>
      <c r="B209" t="str">
        <f>VLOOKUP("project_id",ProjectHeaderInfoTalbe37_1[],2,FALSE)&amp;"-"&amp;"T"&amp;TEXT(TaskListTable14_1[[#This Row],[no]],"000")</f>
        <v>PJ-INFRA-26-01-T151</v>
      </c>
      <c r="C209" s="8"/>
      <c r="D209" s="8"/>
      <c r="E209" s="8"/>
      <c r="F209" s="8"/>
      <c r="G209" s="9"/>
      <c r="H209" s="9"/>
      <c r="I209" s="8"/>
      <c r="J209" s="8"/>
      <c r="K209" s="8"/>
      <c r="L209" s="8"/>
      <c r="M209" s="9"/>
      <c r="N209" s="8"/>
      <c r="O209" s="8"/>
      <c r="P209" t="str">
        <f>IF(TaskListTable14_1[[#This Row],[last_update]]&gt;VLOOKUP("LAST-MTG-DATE",DEF_Parameter!$A$3:$D$102,4,FALSE),"YES","")</f>
        <v/>
      </c>
      <c r="Q209"/>
      <c r="R209"/>
    </row>
    <row r="210" spans="1:18" x14ac:dyDescent="0.45">
      <c r="A210">
        <f t="shared" si="3"/>
        <v>152</v>
      </c>
      <c r="B210" t="str">
        <f>VLOOKUP("project_id",ProjectHeaderInfoTalbe37_1[],2,FALSE)&amp;"-"&amp;"T"&amp;TEXT(TaskListTable14_1[[#This Row],[no]],"000")</f>
        <v>PJ-INFRA-26-01-T152</v>
      </c>
      <c r="C210" s="8"/>
      <c r="D210" s="8"/>
      <c r="E210" s="8"/>
      <c r="F210" s="8"/>
      <c r="G210" s="9"/>
      <c r="H210" s="9"/>
      <c r="I210" s="8"/>
      <c r="J210" s="8"/>
      <c r="K210" s="8"/>
      <c r="L210" s="8"/>
      <c r="M210" s="9"/>
      <c r="N210" s="8"/>
      <c r="O210" s="8"/>
      <c r="P210" t="str">
        <f>IF(TaskListTable14_1[[#This Row],[last_update]]&gt;VLOOKUP("LAST-MTG-DATE",DEF_Parameter!$A$3:$D$102,4,FALSE),"YES","")</f>
        <v/>
      </c>
      <c r="Q210"/>
      <c r="R210"/>
    </row>
    <row r="211" spans="1:18" x14ac:dyDescent="0.45">
      <c r="A211">
        <f t="shared" si="3"/>
        <v>153</v>
      </c>
      <c r="B211" t="str">
        <f>VLOOKUP("project_id",ProjectHeaderInfoTalbe37_1[],2,FALSE)&amp;"-"&amp;"T"&amp;TEXT(TaskListTable14_1[[#This Row],[no]],"000")</f>
        <v>PJ-INFRA-26-01-T153</v>
      </c>
      <c r="C211" s="8"/>
      <c r="D211" s="8"/>
      <c r="E211" s="8"/>
      <c r="F211" s="8"/>
      <c r="G211" s="9"/>
      <c r="H211" s="9"/>
      <c r="I211" s="8"/>
      <c r="J211" s="8"/>
      <c r="K211" s="8"/>
      <c r="L211" s="8"/>
      <c r="M211" s="9"/>
      <c r="N211" s="8"/>
      <c r="O211" s="8"/>
      <c r="P211" t="str">
        <f>IF(TaskListTable14_1[[#This Row],[last_update]]&gt;VLOOKUP("LAST-MTG-DATE",DEF_Parameter!$A$3:$D$102,4,FALSE),"YES","")</f>
        <v/>
      </c>
      <c r="Q211"/>
      <c r="R211"/>
    </row>
    <row r="212" spans="1:18" x14ac:dyDescent="0.45">
      <c r="A212">
        <f t="shared" si="3"/>
        <v>154</v>
      </c>
      <c r="B212" t="str">
        <f>VLOOKUP("project_id",ProjectHeaderInfoTalbe37_1[],2,FALSE)&amp;"-"&amp;"T"&amp;TEXT(TaskListTable14_1[[#This Row],[no]],"000")</f>
        <v>PJ-INFRA-26-01-T154</v>
      </c>
      <c r="C212" s="8"/>
      <c r="D212" s="8"/>
      <c r="E212" s="8"/>
      <c r="F212" s="8"/>
      <c r="G212" s="9"/>
      <c r="H212" s="9"/>
      <c r="I212" s="8"/>
      <c r="J212" s="8"/>
      <c r="K212" s="8"/>
      <c r="L212" s="8"/>
      <c r="M212" s="9"/>
      <c r="N212" s="8"/>
      <c r="O212" s="8"/>
      <c r="P212" t="str">
        <f>IF(TaskListTable14_1[[#This Row],[last_update]]&gt;VLOOKUP("LAST-MTG-DATE",DEF_Parameter!$A$3:$D$102,4,FALSE),"YES","")</f>
        <v/>
      </c>
      <c r="Q212"/>
      <c r="R212"/>
    </row>
    <row r="213" spans="1:18" x14ac:dyDescent="0.45">
      <c r="A213">
        <f t="shared" si="3"/>
        <v>155</v>
      </c>
      <c r="B213" t="str">
        <f>VLOOKUP("project_id",ProjectHeaderInfoTalbe37_1[],2,FALSE)&amp;"-"&amp;"T"&amp;TEXT(TaskListTable14_1[[#This Row],[no]],"000")</f>
        <v>PJ-INFRA-26-01-T155</v>
      </c>
      <c r="C213" s="8"/>
      <c r="D213" s="8"/>
      <c r="E213" s="8"/>
      <c r="F213" s="8"/>
      <c r="G213" s="9"/>
      <c r="H213" s="9"/>
      <c r="I213" s="8"/>
      <c r="J213" s="8"/>
      <c r="K213" s="8"/>
      <c r="L213" s="8"/>
      <c r="M213" s="9"/>
      <c r="N213" s="8"/>
      <c r="O213" s="8"/>
      <c r="P213" t="str">
        <f>IF(TaskListTable14_1[[#This Row],[last_update]]&gt;VLOOKUP("LAST-MTG-DATE",DEF_Parameter!$A$3:$D$102,4,FALSE),"YES","")</f>
        <v/>
      </c>
      <c r="Q213"/>
      <c r="R213"/>
    </row>
    <row r="214" spans="1:18" x14ac:dyDescent="0.45">
      <c r="A214">
        <f t="shared" si="3"/>
        <v>156</v>
      </c>
      <c r="B214" t="str">
        <f>VLOOKUP("project_id",ProjectHeaderInfoTalbe37_1[],2,FALSE)&amp;"-"&amp;"T"&amp;TEXT(TaskListTable14_1[[#This Row],[no]],"000")</f>
        <v>PJ-INFRA-26-01-T156</v>
      </c>
      <c r="C214" s="8"/>
      <c r="D214" s="8"/>
      <c r="E214" s="8"/>
      <c r="F214" s="8"/>
      <c r="G214" s="9"/>
      <c r="H214" s="9"/>
      <c r="I214" s="8"/>
      <c r="J214" s="8"/>
      <c r="K214" s="8"/>
      <c r="L214" s="8"/>
      <c r="M214" s="9"/>
      <c r="N214" s="8"/>
      <c r="O214" s="8"/>
      <c r="P214" t="str">
        <f>IF(TaskListTable14_1[[#This Row],[last_update]]&gt;VLOOKUP("LAST-MTG-DATE",DEF_Parameter!$A$3:$D$102,4,FALSE),"YES","")</f>
        <v/>
      </c>
      <c r="Q214"/>
      <c r="R214"/>
    </row>
    <row r="215" spans="1:18" x14ac:dyDescent="0.45">
      <c r="A215">
        <f t="shared" si="3"/>
        <v>157</v>
      </c>
      <c r="B215" t="str">
        <f>VLOOKUP("project_id",ProjectHeaderInfoTalbe37_1[],2,FALSE)&amp;"-"&amp;"T"&amp;TEXT(TaskListTable14_1[[#This Row],[no]],"000")</f>
        <v>PJ-INFRA-26-01-T157</v>
      </c>
      <c r="C215" s="8"/>
      <c r="D215" s="8"/>
      <c r="E215" s="8"/>
      <c r="F215" s="8"/>
      <c r="G215" s="9"/>
      <c r="H215" s="9"/>
      <c r="I215" s="8"/>
      <c r="J215" s="8"/>
      <c r="K215" s="8"/>
      <c r="L215" s="8"/>
      <c r="M215" s="9"/>
      <c r="N215" s="8"/>
      <c r="O215" s="8"/>
      <c r="P215" t="str">
        <f>IF(TaskListTable14_1[[#This Row],[last_update]]&gt;VLOOKUP("LAST-MTG-DATE",DEF_Parameter!$A$3:$D$102,4,FALSE),"YES","")</f>
        <v/>
      </c>
      <c r="Q215"/>
      <c r="R215"/>
    </row>
    <row r="216" spans="1:18" x14ac:dyDescent="0.45">
      <c r="A216">
        <f t="shared" si="3"/>
        <v>158</v>
      </c>
      <c r="B216" t="str">
        <f>VLOOKUP("project_id",ProjectHeaderInfoTalbe37_1[],2,FALSE)&amp;"-"&amp;"T"&amp;TEXT(TaskListTable14_1[[#This Row],[no]],"000")</f>
        <v>PJ-INFRA-26-01-T158</v>
      </c>
      <c r="C216" s="8"/>
      <c r="D216" s="8"/>
      <c r="E216" s="8"/>
      <c r="F216" s="8"/>
      <c r="G216" s="9"/>
      <c r="H216" s="9"/>
      <c r="I216" s="8"/>
      <c r="J216" s="8"/>
      <c r="K216" s="8"/>
      <c r="L216" s="8"/>
      <c r="M216" s="9"/>
      <c r="N216" s="8"/>
      <c r="O216" s="8"/>
      <c r="P216" t="str">
        <f>IF(TaskListTable14_1[[#This Row],[last_update]]&gt;VLOOKUP("LAST-MTG-DATE",DEF_Parameter!$A$3:$D$102,4,FALSE),"YES","")</f>
        <v/>
      </c>
      <c r="Q216"/>
      <c r="R216"/>
    </row>
    <row r="217" spans="1:18" x14ac:dyDescent="0.45">
      <c r="A217">
        <f t="shared" si="3"/>
        <v>159</v>
      </c>
      <c r="B217" t="str">
        <f>VLOOKUP("project_id",ProjectHeaderInfoTalbe37_1[],2,FALSE)&amp;"-"&amp;"T"&amp;TEXT(TaskListTable14_1[[#This Row],[no]],"000")</f>
        <v>PJ-INFRA-26-01-T159</v>
      </c>
      <c r="C217" s="8"/>
      <c r="D217" s="8"/>
      <c r="E217" s="8"/>
      <c r="F217" s="8"/>
      <c r="G217" s="9"/>
      <c r="H217" s="9"/>
      <c r="I217" s="8"/>
      <c r="J217" s="8"/>
      <c r="K217" s="8"/>
      <c r="L217" s="8"/>
      <c r="M217" s="9"/>
      <c r="N217" s="8"/>
      <c r="O217" s="8"/>
      <c r="P217" t="str">
        <f>IF(TaskListTable14_1[[#This Row],[last_update]]&gt;VLOOKUP("LAST-MTG-DATE",DEF_Parameter!$A$3:$D$102,4,FALSE),"YES","")</f>
        <v/>
      </c>
      <c r="Q217"/>
      <c r="R217"/>
    </row>
    <row r="218" spans="1:18" x14ac:dyDescent="0.45">
      <c r="A218">
        <f t="shared" si="3"/>
        <v>160</v>
      </c>
      <c r="B218" t="str">
        <f>VLOOKUP("project_id",ProjectHeaderInfoTalbe37_1[],2,FALSE)&amp;"-"&amp;"T"&amp;TEXT(TaskListTable14_1[[#This Row],[no]],"000")</f>
        <v>PJ-INFRA-26-01-T160</v>
      </c>
      <c r="C218" s="8"/>
      <c r="D218" s="8"/>
      <c r="E218" s="8"/>
      <c r="F218" s="8"/>
      <c r="G218" s="9"/>
      <c r="H218" s="9"/>
      <c r="I218" s="8"/>
      <c r="J218" s="8"/>
      <c r="K218" s="8"/>
      <c r="L218" s="8"/>
      <c r="M218" s="9"/>
      <c r="N218" s="8"/>
      <c r="O218" s="8"/>
      <c r="P218" t="str">
        <f>IF(TaskListTable14_1[[#This Row],[last_update]]&gt;VLOOKUP("LAST-MTG-DATE",DEF_Parameter!$A$3:$D$102,4,FALSE),"YES","")</f>
        <v/>
      </c>
      <c r="Q218"/>
      <c r="R218"/>
    </row>
    <row r="219" spans="1:18" x14ac:dyDescent="0.45">
      <c r="A219">
        <f t="shared" si="3"/>
        <v>161</v>
      </c>
      <c r="B219" t="str">
        <f>VLOOKUP("project_id",ProjectHeaderInfoTalbe37_1[],2,FALSE)&amp;"-"&amp;"T"&amp;TEXT(TaskListTable14_1[[#This Row],[no]],"000")</f>
        <v>PJ-INFRA-26-01-T161</v>
      </c>
      <c r="C219" s="8"/>
      <c r="D219" s="8"/>
      <c r="E219" s="8"/>
      <c r="F219" s="8"/>
      <c r="G219" s="9"/>
      <c r="H219" s="9"/>
      <c r="I219" s="8"/>
      <c r="J219" s="8"/>
      <c r="K219" s="8"/>
      <c r="L219" s="8"/>
      <c r="M219" s="9"/>
      <c r="N219" s="8"/>
      <c r="O219" s="8"/>
      <c r="P219" t="str">
        <f>IF(TaskListTable14_1[[#This Row],[last_update]]&gt;VLOOKUP("LAST-MTG-DATE",DEF_Parameter!$A$3:$D$102,4,FALSE),"YES","")</f>
        <v/>
      </c>
      <c r="Q219"/>
      <c r="R219"/>
    </row>
    <row r="220" spans="1:18" x14ac:dyDescent="0.45">
      <c r="A220">
        <f t="shared" si="3"/>
        <v>162</v>
      </c>
      <c r="B220" t="str">
        <f>VLOOKUP("project_id",ProjectHeaderInfoTalbe37_1[],2,FALSE)&amp;"-"&amp;"T"&amp;TEXT(TaskListTable14_1[[#This Row],[no]],"000")</f>
        <v>PJ-INFRA-26-01-T162</v>
      </c>
      <c r="C220" s="8"/>
      <c r="D220" s="8"/>
      <c r="E220" s="8"/>
      <c r="F220" s="8"/>
      <c r="G220" s="9"/>
      <c r="H220" s="9"/>
      <c r="I220" s="8"/>
      <c r="J220" s="8"/>
      <c r="K220" s="8"/>
      <c r="L220" s="8"/>
      <c r="M220" s="9"/>
      <c r="N220" s="8"/>
      <c r="O220" s="8"/>
      <c r="P220" t="str">
        <f>IF(TaskListTable14_1[[#This Row],[last_update]]&gt;VLOOKUP("LAST-MTG-DATE",DEF_Parameter!$A$3:$D$102,4,FALSE),"YES","")</f>
        <v/>
      </c>
      <c r="Q220"/>
      <c r="R220"/>
    </row>
    <row r="221" spans="1:18" x14ac:dyDescent="0.45">
      <c r="A221">
        <f t="shared" si="3"/>
        <v>163</v>
      </c>
      <c r="B221" t="str">
        <f>VLOOKUP("project_id",ProjectHeaderInfoTalbe37_1[],2,FALSE)&amp;"-"&amp;"T"&amp;TEXT(TaskListTable14_1[[#This Row],[no]],"000")</f>
        <v>PJ-INFRA-26-01-T163</v>
      </c>
      <c r="C221" s="8"/>
      <c r="D221" s="8"/>
      <c r="E221" s="8"/>
      <c r="F221" s="8"/>
      <c r="G221" s="9"/>
      <c r="H221" s="9"/>
      <c r="I221" s="8"/>
      <c r="J221" s="8"/>
      <c r="K221" s="8"/>
      <c r="L221" s="8"/>
      <c r="M221" s="9"/>
      <c r="N221" s="8"/>
      <c r="O221" s="8"/>
      <c r="P221" t="str">
        <f>IF(TaskListTable14_1[[#This Row],[last_update]]&gt;VLOOKUP("LAST-MTG-DATE",DEF_Parameter!$A$3:$D$102,4,FALSE),"YES","")</f>
        <v/>
      </c>
      <c r="Q221"/>
      <c r="R221"/>
    </row>
    <row r="222" spans="1:18" x14ac:dyDescent="0.45">
      <c r="A222">
        <f t="shared" si="3"/>
        <v>164</v>
      </c>
      <c r="B222" t="str">
        <f>VLOOKUP("project_id",ProjectHeaderInfoTalbe37_1[],2,FALSE)&amp;"-"&amp;"T"&amp;TEXT(TaskListTable14_1[[#This Row],[no]],"000")</f>
        <v>PJ-INFRA-26-01-T164</v>
      </c>
      <c r="C222" s="8"/>
      <c r="D222" s="8"/>
      <c r="E222" s="8"/>
      <c r="F222" s="8"/>
      <c r="G222" s="9"/>
      <c r="H222" s="9"/>
      <c r="I222" s="8"/>
      <c r="J222" s="8"/>
      <c r="K222" s="8"/>
      <c r="L222" s="8"/>
      <c r="M222" s="9"/>
      <c r="N222" s="8"/>
      <c r="O222" s="8"/>
      <c r="P222" t="str">
        <f>IF(TaskListTable14_1[[#This Row],[last_update]]&gt;VLOOKUP("LAST-MTG-DATE",DEF_Parameter!$A$3:$D$102,4,FALSE),"YES","")</f>
        <v/>
      </c>
      <c r="Q222"/>
      <c r="R222"/>
    </row>
    <row r="223" spans="1:18" x14ac:dyDescent="0.45">
      <c r="A223">
        <f t="shared" si="3"/>
        <v>165</v>
      </c>
      <c r="B223" t="str">
        <f>VLOOKUP("project_id",ProjectHeaderInfoTalbe37_1[],2,FALSE)&amp;"-"&amp;"T"&amp;TEXT(TaskListTable14_1[[#This Row],[no]],"000")</f>
        <v>PJ-INFRA-26-01-T165</v>
      </c>
      <c r="C223" s="8"/>
      <c r="D223" s="8"/>
      <c r="E223" s="8"/>
      <c r="F223" s="8"/>
      <c r="G223" s="9"/>
      <c r="H223" s="9"/>
      <c r="I223" s="8"/>
      <c r="J223" s="8"/>
      <c r="K223" s="8"/>
      <c r="L223" s="8"/>
      <c r="M223" s="9"/>
      <c r="N223" s="8"/>
      <c r="O223" s="8"/>
      <c r="P223" t="str">
        <f>IF(TaskListTable14_1[[#This Row],[last_update]]&gt;VLOOKUP("LAST-MTG-DATE",DEF_Parameter!$A$3:$D$102,4,FALSE),"YES","")</f>
        <v/>
      </c>
      <c r="Q223"/>
      <c r="R223"/>
    </row>
    <row r="224" spans="1:18" x14ac:dyDescent="0.45">
      <c r="A224">
        <f t="shared" si="3"/>
        <v>166</v>
      </c>
      <c r="B224" t="str">
        <f>VLOOKUP("project_id",ProjectHeaderInfoTalbe37_1[],2,FALSE)&amp;"-"&amp;"T"&amp;TEXT(TaskListTable14_1[[#This Row],[no]],"000")</f>
        <v>PJ-INFRA-26-01-T166</v>
      </c>
      <c r="C224" s="8"/>
      <c r="D224" s="8"/>
      <c r="E224" s="8"/>
      <c r="F224" s="8"/>
      <c r="G224" s="9"/>
      <c r="H224" s="9"/>
      <c r="I224" s="8"/>
      <c r="J224" s="8"/>
      <c r="K224" s="8"/>
      <c r="L224" s="8"/>
      <c r="M224" s="9"/>
      <c r="N224" s="8"/>
      <c r="O224" s="8"/>
      <c r="P224" t="str">
        <f>IF(TaskListTable14_1[[#This Row],[last_update]]&gt;VLOOKUP("LAST-MTG-DATE",DEF_Parameter!$A$3:$D$102,4,FALSE),"YES","")</f>
        <v/>
      </c>
      <c r="Q224"/>
      <c r="R224"/>
    </row>
    <row r="225" spans="1:18" x14ac:dyDescent="0.45">
      <c r="A225">
        <f t="shared" si="3"/>
        <v>167</v>
      </c>
      <c r="B225" t="str">
        <f>VLOOKUP("project_id",ProjectHeaderInfoTalbe37_1[],2,FALSE)&amp;"-"&amp;"T"&amp;TEXT(TaskListTable14_1[[#This Row],[no]],"000")</f>
        <v>PJ-INFRA-26-01-T167</v>
      </c>
      <c r="C225" s="8"/>
      <c r="D225" s="8"/>
      <c r="E225" s="8"/>
      <c r="F225" s="8"/>
      <c r="G225" s="9"/>
      <c r="H225" s="9"/>
      <c r="I225" s="8"/>
      <c r="J225" s="8"/>
      <c r="K225" s="8"/>
      <c r="L225" s="8"/>
      <c r="M225" s="9"/>
      <c r="N225" s="8"/>
      <c r="O225" s="8"/>
      <c r="P225" t="str">
        <f>IF(TaskListTable14_1[[#This Row],[last_update]]&gt;VLOOKUP("LAST-MTG-DATE",DEF_Parameter!$A$3:$D$102,4,FALSE),"YES","")</f>
        <v/>
      </c>
      <c r="Q225"/>
      <c r="R225"/>
    </row>
    <row r="226" spans="1:18" x14ac:dyDescent="0.45">
      <c r="A226">
        <f t="shared" si="3"/>
        <v>168</v>
      </c>
      <c r="B226" t="str">
        <f>VLOOKUP("project_id",ProjectHeaderInfoTalbe37_1[],2,FALSE)&amp;"-"&amp;"T"&amp;TEXT(TaskListTable14_1[[#This Row],[no]],"000")</f>
        <v>PJ-INFRA-26-01-T168</v>
      </c>
      <c r="C226" s="8"/>
      <c r="D226" s="8"/>
      <c r="E226" s="8"/>
      <c r="F226" s="8"/>
      <c r="G226" s="9"/>
      <c r="H226" s="9"/>
      <c r="I226" s="8"/>
      <c r="J226" s="8"/>
      <c r="K226" s="8"/>
      <c r="L226" s="8"/>
      <c r="M226" s="9"/>
      <c r="N226" s="8"/>
      <c r="O226" s="8"/>
      <c r="P226" t="str">
        <f>IF(TaskListTable14_1[[#This Row],[last_update]]&gt;VLOOKUP("LAST-MTG-DATE",DEF_Parameter!$A$3:$D$102,4,FALSE),"YES","")</f>
        <v/>
      </c>
      <c r="Q226"/>
      <c r="R226"/>
    </row>
    <row r="227" spans="1:18" x14ac:dyDescent="0.45">
      <c r="A227">
        <f t="shared" si="3"/>
        <v>169</v>
      </c>
      <c r="B227" t="str">
        <f>VLOOKUP("project_id",ProjectHeaderInfoTalbe37_1[],2,FALSE)&amp;"-"&amp;"T"&amp;TEXT(TaskListTable14_1[[#This Row],[no]],"000")</f>
        <v>PJ-INFRA-26-01-T169</v>
      </c>
      <c r="C227" s="8"/>
      <c r="D227" s="8"/>
      <c r="E227" s="8"/>
      <c r="F227" s="8"/>
      <c r="G227" s="9"/>
      <c r="H227" s="9"/>
      <c r="I227" s="8"/>
      <c r="J227" s="8"/>
      <c r="K227" s="8"/>
      <c r="L227" s="8"/>
      <c r="M227" s="9"/>
      <c r="N227" s="8"/>
      <c r="O227" s="8"/>
      <c r="P227" t="str">
        <f>IF(TaskListTable14_1[[#This Row],[last_update]]&gt;VLOOKUP("LAST-MTG-DATE",DEF_Parameter!$A$3:$D$102,4,FALSE),"YES","")</f>
        <v/>
      </c>
      <c r="Q227"/>
      <c r="R227"/>
    </row>
    <row r="228" spans="1:18" x14ac:dyDescent="0.45">
      <c r="A228">
        <f t="shared" si="3"/>
        <v>170</v>
      </c>
      <c r="B228" t="str">
        <f>VLOOKUP("project_id",ProjectHeaderInfoTalbe37_1[],2,FALSE)&amp;"-"&amp;"T"&amp;TEXT(TaskListTable14_1[[#This Row],[no]],"000")</f>
        <v>PJ-INFRA-26-01-T170</v>
      </c>
      <c r="C228" s="8"/>
      <c r="D228" s="8"/>
      <c r="E228" s="8"/>
      <c r="F228" s="8"/>
      <c r="G228" s="9"/>
      <c r="H228" s="9"/>
      <c r="I228" s="8"/>
      <c r="J228" s="8"/>
      <c r="K228" s="8"/>
      <c r="L228" s="8"/>
      <c r="M228" s="9"/>
      <c r="N228" s="8"/>
      <c r="O228" s="8"/>
      <c r="P228" t="str">
        <f>IF(TaskListTable14_1[[#This Row],[last_update]]&gt;VLOOKUP("LAST-MTG-DATE",DEF_Parameter!$A$3:$D$102,4,FALSE),"YES","")</f>
        <v/>
      </c>
      <c r="Q228"/>
      <c r="R228"/>
    </row>
    <row r="229" spans="1:18" x14ac:dyDescent="0.45">
      <c r="A229">
        <f t="shared" si="3"/>
        <v>171</v>
      </c>
      <c r="B229" t="str">
        <f>VLOOKUP("project_id",ProjectHeaderInfoTalbe37_1[],2,FALSE)&amp;"-"&amp;"T"&amp;TEXT(TaskListTable14_1[[#This Row],[no]],"000")</f>
        <v>PJ-INFRA-26-01-T171</v>
      </c>
      <c r="C229" s="8"/>
      <c r="D229" s="8"/>
      <c r="E229" s="8"/>
      <c r="F229" s="8"/>
      <c r="G229" s="9"/>
      <c r="H229" s="9"/>
      <c r="I229" s="8"/>
      <c r="J229" s="8"/>
      <c r="K229" s="8"/>
      <c r="L229" s="8"/>
      <c r="M229" s="9"/>
      <c r="N229" s="8"/>
      <c r="O229" s="8"/>
      <c r="P229" t="str">
        <f>IF(TaskListTable14_1[[#This Row],[last_update]]&gt;VLOOKUP("LAST-MTG-DATE",DEF_Parameter!$A$3:$D$102,4,FALSE),"YES","")</f>
        <v/>
      </c>
      <c r="Q229"/>
      <c r="R229"/>
    </row>
    <row r="230" spans="1:18" x14ac:dyDescent="0.45">
      <c r="A230">
        <f t="shared" si="3"/>
        <v>172</v>
      </c>
      <c r="B230" t="str">
        <f>VLOOKUP("project_id",ProjectHeaderInfoTalbe37_1[],2,FALSE)&amp;"-"&amp;"T"&amp;TEXT(TaskListTable14_1[[#This Row],[no]],"000")</f>
        <v>PJ-INFRA-26-01-T172</v>
      </c>
      <c r="C230" s="8"/>
      <c r="D230" s="8"/>
      <c r="E230" s="8"/>
      <c r="F230" s="8"/>
      <c r="G230" s="9"/>
      <c r="H230" s="9"/>
      <c r="I230" s="8"/>
      <c r="J230" s="8"/>
      <c r="K230" s="8"/>
      <c r="L230" s="8"/>
      <c r="M230" s="9"/>
      <c r="N230" s="8"/>
      <c r="O230" s="8"/>
      <c r="P230" t="str">
        <f>IF(TaskListTable14_1[[#This Row],[last_update]]&gt;VLOOKUP("LAST-MTG-DATE",DEF_Parameter!$A$3:$D$102,4,FALSE),"YES","")</f>
        <v/>
      </c>
      <c r="Q230"/>
      <c r="R230"/>
    </row>
    <row r="231" spans="1:18" x14ac:dyDescent="0.45">
      <c r="A231">
        <f t="shared" si="3"/>
        <v>173</v>
      </c>
      <c r="B231" t="str">
        <f>VLOOKUP("project_id",ProjectHeaderInfoTalbe37_1[],2,FALSE)&amp;"-"&amp;"T"&amp;TEXT(TaskListTable14_1[[#This Row],[no]],"000")</f>
        <v>PJ-INFRA-26-01-T173</v>
      </c>
      <c r="C231" s="8"/>
      <c r="D231" s="8"/>
      <c r="E231" s="8"/>
      <c r="F231" s="8"/>
      <c r="G231" s="9"/>
      <c r="H231" s="9"/>
      <c r="I231" s="8"/>
      <c r="J231" s="8"/>
      <c r="K231" s="8"/>
      <c r="L231" s="8"/>
      <c r="M231" s="9"/>
      <c r="N231" s="8"/>
      <c r="O231" s="8"/>
      <c r="P231" t="str">
        <f>IF(TaskListTable14_1[[#This Row],[last_update]]&gt;VLOOKUP("LAST-MTG-DATE",DEF_Parameter!$A$3:$D$102,4,FALSE),"YES","")</f>
        <v/>
      </c>
      <c r="Q231"/>
      <c r="R231"/>
    </row>
    <row r="232" spans="1:18" x14ac:dyDescent="0.45">
      <c r="A232">
        <f t="shared" si="3"/>
        <v>174</v>
      </c>
      <c r="B232" t="str">
        <f>VLOOKUP("project_id",ProjectHeaderInfoTalbe37_1[],2,FALSE)&amp;"-"&amp;"T"&amp;TEXT(TaskListTable14_1[[#This Row],[no]],"000")</f>
        <v>PJ-INFRA-26-01-T174</v>
      </c>
      <c r="C232" s="8"/>
      <c r="D232" s="8"/>
      <c r="E232" s="8"/>
      <c r="F232" s="8"/>
      <c r="G232" s="9"/>
      <c r="H232" s="9"/>
      <c r="I232" s="8"/>
      <c r="J232" s="8"/>
      <c r="K232" s="8"/>
      <c r="L232" s="8"/>
      <c r="M232" s="9"/>
      <c r="N232" s="8"/>
      <c r="O232" s="8"/>
      <c r="P232" t="str">
        <f>IF(TaskListTable14_1[[#This Row],[last_update]]&gt;VLOOKUP("LAST-MTG-DATE",DEF_Parameter!$A$3:$D$102,4,FALSE),"YES","")</f>
        <v/>
      </c>
      <c r="Q232"/>
      <c r="R232"/>
    </row>
    <row r="233" spans="1:18" x14ac:dyDescent="0.45">
      <c r="A233">
        <f t="shared" si="3"/>
        <v>175</v>
      </c>
      <c r="B233" t="str">
        <f>VLOOKUP("project_id",ProjectHeaderInfoTalbe37_1[],2,FALSE)&amp;"-"&amp;"T"&amp;TEXT(TaskListTable14_1[[#This Row],[no]],"000")</f>
        <v>PJ-INFRA-26-01-T175</v>
      </c>
      <c r="C233" s="8"/>
      <c r="D233" s="8"/>
      <c r="E233" s="8"/>
      <c r="F233" s="8"/>
      <c r="G233" s="9"/>
      <c r="H233" s="9"/>
      <c r="I233" s="8"/>
      <c r="J233" s="8"/>
      <c r="K233" s="8"/>
      <c r="L233" s="8"/>
      <c r="M233" s="9"/>
      <c r="N233" s="8"/>
      <c r="O233" s="8"/>
      <c r="P233" t="str">
        <f>IF(TaskListTable14_1[[#This Row],[last_update]]&gt;VLOOKUP("LAST-MTG-DATE",DEF_Parameter!$A$3:$D$102,4,FALSE),"YES","")</f>
        <v/>
      </c>
      <c r="Q233"/>
      <c r="R233"/>
    </row>
    <row r="234" spans="1:18" x14ac:dyDescent="0.45">
      <c r="A234">
        <f t="shared" si="3"/>
        <v>176</v>
      </c>
      <c r="B234" t="str">
        <f>VLOOKUP("project_id",ProjectHeaderInfoTalbe37_1[],2,FALSE)&amp;"-"&amp;"T"&amp;TEXT(TaskListTable14_1[[#This Row],[no]],"000")</f>
        <v>PJ-INFRA-26-01-T176</v>
      </c>
      <c r="C234" s="8"/>
      <c r="D234" s="8"/>
      <c r="E234" s="8"/>
      <c r="F234" s="8"/>
      <c r="G234" s="9"/>
      <c r="H234" s="9"/>
      <c r="I234" s="8"/>
      <c r="J234" s="8"/>
      <c r="K234" s="8"/>
      <c r="L234" s="8"/>
      <c r="M234" s="9"/>
      <c r="N234" s="8"/>
      <c r="O234" s="8"/>
      <c r="P234" t="str">
        <f>IF(TaskListTable14_1[[#This Row],[last_update]]&gt;VLOOKUP("LAST-MTG-DATE",DEF_Parameter!$A$3:$D$102,4,FALSE),"YES","")</f>
        <v/>
      </c>
      <c r="Q234"/>
      <c r="R234"/>
    </row>
    <row r="235" spans="1:18" x14ac:dyDescent="0.45">
      <c r="A235">
        <f t="shared" si="3"/>
        <v>177</v>
      </c>
      <c r="B235" t="str">
        <f>VLOOKUP("project_id",ProjectHeaderInfoTalbe37_1[],2,FALSE)&amp;"-"&amp;"T"&amp;TEXT(TaskListTable14_1[[#This Row],[no]],"000")</f>
        <v>PJ-INFRA-26-01-T177</v>
      </c>
      <c r="C235" s="8"/>
      <c r="D235" s="8"/>
      <c r="E235" s="8"/>
      <c r="F235" s="8"/>
      <c r="G235" s="9"/>
      <c r="H235" s="9"/>
      <c r="I235" s="8"/>
      <c r="J235" s="8"/>
      <c r="K235" s="8"/>
      <c r="L235" s="8"/>
      <c r="M235" s="9"/>
      <c r="N235" s="8"/>
      <c r="O235" s="8"/>
      <c r="P235" t="str">
        <f>IF(TaskListTable14_1[[#This Row],[last_update]]&gt;VLOOKUP("LAST-MTG-DATE",DEF_Parameter!$A$3:$D$102,4,FALSE),"YES","")</f>
        <v/>
      </c>
      <c r="Q235"/>
      <c r="R235"/>
    </row>
    <row r="236" spans="1:18" x14ac:dyDescent="0.45">
      <c r="A236">
        <f t="shared" si="3"/>
        <v>178</v>
      </c>
      <c r="B236" t="str">
        <f>VLOOKUP("project_id",ProjectHeaderInfoTalbe37_1[],2,FALSE)&amp;"-"&amp;"T"&amp;TEXT(TaskListTable14_1[[#This Row],[no]],"000")</f>
        <v>PJ-INFRA-26-01-T178</v>
      </c>
      <c r="C236" s="8"/>
      <c r="D236" s="8"/>
      <c r="E236" s="8"/>
      <c r="F236" s="8"/>
      <c r="G236" s="9"/>
      <c r="H236" s="9"/>
      <c r="I236" s="8"/>
      <c r="J236" s="8"/>
      <c r="K236" s="8"/>
      <c r="L236" s="8"/>
      <c r="M236" s="9"/>
      <c r="N236" s="8"/>
      <c r="O236" s="8"/>
      <c r="P236" t="str">
        <f>IF(TaskListTable14_1[[#This Row],[last_update]]&gt;VLOOKUP("LAST-MTG-DATE",DEF_Parameter!$A$3:$D$102,4,FALSE),"YES","")</f>
        <v/>
      </c>
      <c r="Q236"/>
      <c r="R236"/>
    </row>
    <row r="237" spans="1:18" x14ac:dyDescent="0.45">
      <c r="A237">
        <f t="shared" si="3"/>
        <v>179</v>
      </c>
      <c r="B237" t="str">
        <f>VLOOKUP("project_id",ProjectHeaderInfoTalbe37_1[],2,FALSE)&amp;"-"&amp;"T"&amp;TEXT(TaskListTable14_1[[#This Row],[no]],"000")</f>
        <v>PJ-INFRA-26-01-T179</v>
      </c>
      <c r="C237" s="8"/>
      <c r="D237" s="8"/>
      <c r="E237" s="8"/>
      <c r="F237" s="8"/>
      <c r="G237" s="9"/>
      <c r="H237" s="9"/>
      <c r="I237" s="8"/>
      <c r="J237" s="8"/>
      <c r="K237" s="8"/>
      <c r="L237" s="8"/>
      <c r="M237" s="9"/>
      <c r="N237" s="8"/>
      <c r="O237" s="8"/>
      <c r="P237" t="str">
        <f>IF(TaskListTable14_1[[#This Row],[last_update]]&gt;VLOOKUP("LAST-MTG-DATE",DEF_Parameter!$A$3:$D$102,4,FALSE),"YES","")</f>
        <v/>
      </c>
      <c r="Q237"/>
      <c r="R237"/>
    </row>
    <row r="238" spans="1:18" x14ac:dyDescent="0.45">
      <c r="A238">
        <f t="shared" si="3"/>
        <v>180</v>
      </c>
      <c r="B238" t="str">
        <f>VLOOKUP("project_id",ProjectHeaderInfoTalbe37_1[],2,FALSE)&amp;"-"&amp;"T"&amp;TEXT(TaskListTable14_1[[#This Row],[no]],"000")</f>
        <v>PJ-INFRA-26-01-T180</v>
      </c>
      <c r="C238" s="8"/>
      <c r="D238" s="8"/>
      <c r="E238" s="8"/>
      <c r="F238" s="8"/>
      <c r="G238" s="9"/>
      <c r="H238" s="9"/>
      <c r="I238" s="8"/>
      <c r="J238" s="8"/>
      <c r="K238" s="8"/>
      <c r="L238" s="8"/>
      <c r="M238" s="9"/>
      <c r="N238" s="8"/>
      <c r="O238" s="8"/>
      <c r="P238" t="str">
        <f>IF(TaskListTable14_1[[#This Row],[last_update]]&gt;VLOOKUP("LAST-MTG-DATE",DEF_Parameter!$A$3:$D$102,4,FALSE),"YES","")</f>
        <v/>
      </c>
      <c r="Q238"/>
      <c r="R238"/>
    </row>
    <row r="239" spans="1:18" x14ac:dyDescent="0.45">
      <c r="A239">
        <f t="shared" si="3"/>
        <v>181</v>
      </c>
      <c r="B239" t="str">
        <f>VLOOKUP("project_id",ProjectHeaderInfoTalbe37_1[],2,FALSE)&amp;"-"&amp;"T"&amp;TEXT(TaskListTable14_1[[#This Row],[no]],"000")</f>
        <v>PJ-INFRA-26-01-T181</v>
      </c>
      <c r="C239" s="8"/>
      <c r="D239" s="8"/>
      <c r="E239" s="8"/>
      <c r="F239" s="8"/>
      <c r="G239" s="9"/>
      <c r="H239" s="9"/>
      <c r="I239" s="8"/>
      <c r="J239" s="8"/>
      <c r="K239" s="8"/>
      <c r="L239" s="8"/>
      <c r="M239" s="9"/>
      <c r="N239" s="8"/>
      <c r="O239" s="8"/>
      <c r="P239" t="str">
        <f>IF(TaskListTable14_1[[#This Row],[last_update]]&gt;VLOOKUP("LAST-MTG-DATE",DEF_Parameter!$A$3:$D$102,4,FALSE),"YES","")</f>
        <v/>
      </c>
      <c r="Q239"/>
      <c r="R239"/>
    </row>
    <row r="240" spans="1:18" x14ac:dyDescent="0.45">
      <c r="A240">
        <f t="shared" si="3"/>
        <v>182</v>
      </c>
      <c r="B240" t="str">
        <f>VLOOKUP("project_id",ProjectHeaderInfoTalbe37_1[],2,FALSE)&amp;"-"&amp;"T"&amp;TEXT(TaskListTable14_1[[#This Row],[no]],"000")</f>
        <v>PJ-INFRA-26-01-T182</v>
      </c>
      <c r="C240" s="8"/>
      <c r="D240" s="8"/>
      <c r="E240" s="8"/>
      <c r="F240" s="8"/>
      <c r="G240" s="9"/>
      <c r="H240" s="9"/>
      <c r="I240" s="8"/>
      <c r="J240" s="8"/>
      <c r="K240" s="8"/>
      <c r="L240" s="8"/>
      <c r="M240" s="9"/>
      <c r="N240" s="8"/>
      <c r="O240" s="8"/>
      <c r="P240" t="str">
        <f>IF(TaskListTable14_1[[#This Row],[last_update]]&gt;VLOOKUP("LAST-MTG-DATE",DEF_Parameter!$A$3:$D$102,4,FALSE),"YES","")</f>
        <v/>
      </c>
      <c r="Q240"/>
      <c r="R240"/>
    </row>
    <row r="241" spans="1:18" x14ac:dyDescent="0.45">
      <c r="A241">
        <f t="shared" si="3"/>
        <v>183</v>
      </c>
      <c r="B241" t="str">
        <f>VLOOKUP("project_id",ProjectHeaderInfoTalbe37_1[],2,FALSE)&amp;"-"&amp;"T"&amp;TEXT(TaskListTable14_1[[#This Row],[no]],"000")</f>
        <v>PJ-INFRA-26-01-T183</v>
      </c>
      <c r="C241" s="8"/>
      <c r="D241" s="8"/>
      <c r="E241" s="8"/>
      <c r="F241" s="8"/>
      <c r="G241" s="9"/>
      <c r="H241" s="9"/>
      <c r="I241" s="8"/>
      <c r="J241" s="8"/>
      <c r="K241" s="8"/>
      <c r="L241" s="8"/>
      <c r="M241" s="9"/>
      <c r="N241" s="8"/>
      <c r="O241" s="8"/>
      <c r="P241" t="str">
        <f>IF(TaskListTable14_1[[#This Row],[last_update]]&gt;VLOOKUP("LAST-MTG-DATE",DEF_Parameter!$A$3:$D$102,4,FALSE),"YES","")</f>
        <v/>
      </c>
      <c r="Q241"/>
      <c r="R241"/>
    </row>
    <row r="242" spans="1:18" x14ac:dyDescent="0.45">
      <c r="A242">
        <f t="shared" si="3"/>
        <v>184</v>
      </c>
      <c r="B242" t="str">
        <f>VLOOKUP("project_id",ProjectHeaderInfoTalbe37_1[],2,FALSE)&amp;"-"&amp;"T"&amp;TEXT(TaskListTable14_1[[#This Row],[no]],"000")</f>
        <v>PJ-INFRA-26-01-T184</v>
      </c>
      <c r="C242" s="8"/>
      <c r="D242" s="8"/>
      <c r="E242" s="8"/>
      <c r="F242" s="8"/>
      <c r="G242" s="9"/>
      <c r="H242" s="9"/>
      <c r="I242" s="8"/>
      <c r="J242" s="8"/>
      <c r="K242" s="8"/>
      <c r="L242" s="8"/>
      <c r="M242" s="9"/>
      <c r="N242" s="8"/>
      <c r="O242" s="8"/>
      <c r="P242" t="str">
        <f>IF(TaskListTable14_1[[#This Row],[last_update]]&gt;VLOOKUP("LAST-MTG-DATE",DEF_Parameter!$A$3:$D$102,4,FALSE),"YES","")</f>
        <v/>
      </c>
      <c r="Q242"/>
      <c r="R242"/>
    </row>
    <row r="243" spans="1:18" x14ac:dyDescent="0.45">
      <c r="A243">
        <f t="shared" si="3"/>
        <v>185</v>
      </c>
      <c r="B243" t="str">
        <f>VLOOKUP("project_id",ProjectHeaderInfoTalbe37_1[],2,FALSE)&amp;"-"&amp;"T"&amp;TEXT(TaskListTable14_1[[#This Row],[no]],"000")</f>
        <v>PJ-INFRA-26-01-T185</v>
      </c>
      <c r="C243" s="8"/>
      <c r="D243" s="8"/>
      <c r="E243" s="8"/>
      <c r="F243" s="8"/>
      <c r="G243" s="9"/>
      <c r="H243" s="9"/>
      <c r="I243" s="8"/>
      <c r="J243" s="8"/>
      <c r="K243" s="8"/>
      <c r="L243" s="8"/>
      <c r="M243" s="9"/>
      <c r="N243" s="8"/>
      <c r="O243" s="8"/>
      <c r="P243" t="str">
        <f>IF(TaskListTable14_1[[#This Row],[last_update]]&gt;VLOOKUP("LAST-MTG-DATE",DEF_Parameter!$A$3:$D$102,4,FALSE),"YES","")</f>
        <v/>
      </c>
      <c r="Q243"/>
      <c r="R243"/>
    </row>
    <row r="244" spans="1:18" x14ac:dyDescent="0.45">
      <c r="A244">
        <f t="shared" si="3"/>
        <v>186</v>
      </c>
      <c r="B244" t="str">
        <f>VLOOKUP("project_id",ProjectHeaderInfoTalbe37_1[],2,FALSE)&amp;"-"&amp;"T"&amp;TEXT(TaskListTable14_1[[#This Row],[no]],"000")</f>
        <v>PJ-INFRA-26-01-T186</v>
      </c>
      <c r="C244" s="8"/>
      <c r="D244" s="8"/>
      <c r="E244" s="8"/>
      <c r="F244" s="8"/>
      <c r="G244" s="9"/>
      <c r="H244" s="9"/>
      <c r="I244" s="8"/>
      <c r="J244" s="8"/>
      <c r="K244" s="8"/>
      <c r="L244" s="8"/>
      <c r="M244" s="9"/>
      <c r="N244" s="8"/>
      <c r="O244" s="8"/>
      <c r="P244" t="str">
        <f>IF(TaskListTable14_1[[#This Row],[last_update]]&gt;VLOOKUP("LAST-MTG-DATE",DEF_Parameter!$A$3:$D$102,4,FALSE),"YES","")</f>
        <v/>
      </c>
      <c r="Q244"/>
      <c r="R244"/>
    </row>
    <row r="245" spans="1:18" x14ac:dyDescent="0.45">
      <c r="A245">
        <f t="shared" si="3"/>
        <v>187</v>
      </c>
      <c r="B245" t="str">
        <f>VLOOKUP("project_id",ProjectHeaderInfoTalbe37_1[],2,FALSE)&amp;"-"&amp;"T"&amp;TEXT(TaskListTable14_1[[#This Row],[no]],"000")</f>
        <v>PJ-INFRA-26-01-T187</v>
      </c>
      <c r="C245" s="8"/>
      <c r="D245" s="8"/>
      <c r="E245" s="8"/>
      <c r="F245" s="8"/>
      <c r="G245" s="9"/>
      <c r="H245" s="9"/>
      <c r="I245" s="8"/>
      <c r="J245" s="8"/>
      <c r="K245" s="8"/>
      <c r="L245" s="8"/>
      <c r="M245" s="9"/>
      <c r="N245" s="8"/>
      <c r="O245" s="8"/>
      <c r="P245" t="str">
        <f>IF(TaskListTable14_1[[#This Row],[last_update]]&gt;VLOOKUP("LAST-MTG-DATE",DEF_Parameter!$A$3:$D$102,4,FALSE),"YES","")</f>
        <v/>
      </c>
      <c r="Q245"/>
      <c r="R245"/>
    </row>
    <row r="246" spans="1:18" x14ac:dyDescent="0.45">
      <c r="A246">
        <f t="shared" si="3"/>
        <v>188</v>
      </c>
      <c r="B246" t="str">
        <f>VLOOKUP("project_id",ProjectHeaderInfoTalbe37_1[],2,FALSE)&amp;"-"&amp;"T"&amp;TEXT(TaskListTable14_1[[#This Row],[no]],"000")</f>
        <v>PJ-INFRA-26-01-T188</v>
      </c>
      <c r="C246" s="8"/>
      <c r="D246" s="8"/>
      <c r="E246" s="8"/>
      <c r="F246" s="8"/>
      <c r="G246" s="9"/>
      <c r="H246" s="9"/>
      <c r="I246" s="8"/>
      <c r="J246" s="8"/>
      <c r="K246" s="8"/>
      <c r="L246" s="8"/>
      <c r="M246" s="9"/>
      <c r="N246" s="8"/>
      <c r="O246" s="8"/>
      <c r="P246" t="str">
        <f>IF(TaskListTable14_1[[#This Row],[last_update]]&gt;VLOOKUP("LAST-MTG-DATE",DEF_Parameter!$A$3:$D$102,4,FALSE),"YES","")</f>
        <v/>
      </c>
      <c r="Q246"/>
      <c r="R246"/>
    </row>
    <row r="247" spans="1:18" x14ac:dyDescent="0.45">
      <c r="A247">
        <f t="shared" si="3"/>
        <v>189</v>
      </c>
      <c r="B247" t="str">
        <f>VLOOKUP("project_id",ProjectHeaderInfoTalbe37_1[],2,FALSE)&amp;"-"&amp;"T"&amp;TEXT(TaskListTable14_1[[#This Row],[no]],"000")</f>
        <v>PJ-INFRA-26-01-T189</v>
      </c>
      <c r="C247" s="8"/>
      <c r="D247" s="8"/>
      <c r="E247" s="8"/>
      <c r="F247" s="8"/>
      <c r="G247" s="9"/>
      <c r="H247" s="9"/>
      <c r="I247" s="8"/>
      <c r="J247" s="8"/>
      <c r="K247" s="8"/>
      <c r="L247" s="8"/>
      <c r="M247" s="9"/>
      <c r="N247" s="8"/>
      <c r="O247" s="8"/>
      <c r="P247" t="str">
        <f>IF(TaskListTable14_1[[#This Row],[last_update]]&gt;VLOOKUP("LAST-MTG-DATE",DEF_Parameter!$A$3:$D$102,4,FALSE),"YES","")</f>
        <v/>
      </c>
      <c r="Q247"/>
      <c r="R247"/>
    </row>
    <row r="248" spans="1:18" x14ac:dyDescent="0.45">
      <c r="A248">
        <f t="shared" si="3"/>
        <v>190</v>
      </c>
      <c r="B248" t="str">
        <f>VLOOKUP("project_id",ProjectHeaderInfoTalbe37_1[],2,FALSE)&amp;"-"&amp;"T"&amp;TEXT(TaskListTable14_1[[#This Row],[no]],"000")</f>
        <v>PJ-INFRA-26-01-T190</v>
      </c>
      <c r="C248" s="8"/>
      <c r="D248" s="8"/>
      <c r="E248" s="8"/>
      <c r="F248" s="8"/>
      <c r="G248" s="9"/>
      <c r="H248" s="9"/>
      <c r="I248" s="8"/>
      <c r="J248" s="8"/>
      <c r="K248" s="8"/>
      <c r="L248" s="8"/>
      <c r="M248" s="9"/>
      <c r="N248" s="8"/>
      <c r="O248" s="8"/>
      <c r="P248" t="str">
        <f>IF(TaskListTable14_1[[#This Row],[last_update]]&gt;VLOOKUP("LAST-MTG-DATE",DEF_Parameter!$A$3:$D$102,4,FALSE),"YES","")</f>
        <v/>
      </c>
      <c r="Q248"/>
      <c r="R248"/>
    </row>
    <row r="249" spans="1:18" x14ac:dyDescent="0.45">
      <c r="A249">
        <f t="shared" si="3"/>
        <v>191</v>
      </c>
      <c r="B249" t="str">
        <f>VLOOKUP("project_id",ProjectHeaderInfoTalbe37_1[],2,FALSE)&amp;"-"&amp;"T"&amp;TEXT(TaskListTable14_1[[#This Row],[no]],"000")</f>
        <v>PJ-INFRA-26-01-T191</v>
      </c>
      <c r="C249" s="8"/>
      <c r="D249" s="8"/>
      <c r="E249" s="8"/>
      <c r="F249" s="8"/>
      <c r="G249" s="9"/>
      <c r="H249" s="9"/>
      <c r="I249" s="8"/>
      <c r="J249" s="8"/>
      <c r="K249" s="8"/>
      <c r="L249" s="8"/>
      <c r="M249" s="9"/>
      <c r="N249" s="8"/>
      <c r="O249" s="8"/>
      <c r="P249" t="str">
        <f>IF(TaskListTable14_1[[#This Row],[last_update]]&gt;VLOOKUP("LAST-MTG-DATE",DEF_Parameter!$A$3:$D$102,4,FALSE),"YES","")</f>
        <v/>
      </c>
      <c r="Q249"/>
      <c r="R249"/>
    </row>
    <row r="250" spans="1:18" x14ac:dyDescent="0.45">
      <c r="A250">
        <f t="shared" si="3"/>
        <v>192</v>
      </c>
      <c r="B250" t="str">
        <f>VLOOKUP("project_id",ProjectHeaderInfoTalbe37_1[],2,FALSE)&amp;"-"&amp;"T"&amp;TEXT(TaskListTable14_1[[#This Row],[no]],"000")</f>
        <v>PJ-INFRA-26-01-T192</v>
      </c>
      <c r="C250" s="8"/>
      <c r="D250" s="8"/>
      <c r="E250" s="8"/>
      <c r="F250" s="8"/>
      <c r="G250" s="9"/>
      <c r="H250" s="9"/>
      <c r="I250" s="8"/>
      <c r="J250" s="8"/>
      <c r="K250" s="8"/>
      <c r="L250" s="8"/>
      <c r="M250" s="9"/>
      <c r="N250" s="8"/>
      <c r="O250" s="8"/>
      <c r="P250" t="str">
        <f>IF(TaskListTable14_1[[#This Row],[last_update]]&gt;VLOOKUP("LAST-MTG-DATE",DEF_Parameter!$A$3:$D$102,4,FALSE),"YES","")</f>
        <v/>
      </c>
      <c r="Q250"/>
      <c r="R250"/>
    </row>
    <row r="251" spans="1:18" x14ac:dyDescent="0.45">
      <c r="A251">
        <f t="shared" si="3"/>
        <v>193</v>
      </c>
      <c r="B251" t="str">
        <f>VLOOKUP("project_id",ProjectHeaderInfoTalbe37_1[],2,FALSE)&amp;"-"&amp;"T"&amp;TEXT(TaskListTable14_1[[#This Row],[no]],"000")</f>
        <v>PJ-INFRA-26-01-T193</v>
      </c>
      <c r="C251" s="8"/>
      <c r="D251" s="8"/>
      <c r="E251" s="8"/>
      <c r="F251" s="8"/>
      <c r="G251" s="9"/>
      <c r="H251" s="9"/>
      <c r="I251" s="8"/>
      <c r="J251" s="8"/>
      <c r="K251" s="8"/>
      <c r="L251" s="8"/>
      <c r="M251" s="9"/>
      <c r="N251" s="8"/>
      <c r="O251" s="8"/>
      <c r="P251" t="str">
        <f>IF(TaskListTable14_1[[#This Row],[last_update]]&gt;VLOOKUP("LAST-MTG-DATE",DEF_Parameter!$A$3:$D$102,4,FALSE),"YES","")</f>
        <v/>
      </c>
      <c r="Q251"/>
      <c r="R251"/>
    </row>
    <row r="252" spans="1:18" x14ac:dyDescent="0.45">
      <c r="A252">
        <f t="shared" ref="A252:A258" si="4">A251+1</f>
        <v>194</v>
      </c>
      <c r="B252" t="str">
        <f>VLOOKUP("project_id",ProjectHeaderInfoTalbe37_1[],2,FALSE)&amp;"-"&amp;"T"&amp;TEXT(TaskListTable14_1[[#This Row],[no]],"000")</f>
        <v>PJ-INFRA-26-01-T194</v>
      </c>
      <c r="C252" s="8"/>
      <c r="D252" s="8"/>
      <c r="E252" s="8"/>
      <c r="F252" s="8"/>
      <c r="G252" s="9"/>
      <c r="H252" s="9"/>
      <c r="I252" s="8"/>
      <c r="J252" s="8"/>
      <c r="K252" s="8"/>
      <c r="L252" s="8"/>
      <c r="M252" s="9"/>
      <c r="N252" s="8"/>
      <c r="O252" s="8"/>
      <c r="P252" t="str">
        <f>IF(TaskListTable14_1[[#This Row],[last_update]]&gt;VLOOKUP("LAST-MTG-DATE",DEF_Parameter!$A$3:$D$102,4,FALSE),"YES","")</f>
        <v/>
      </c>
      <c r="Q252"/>
      <c r="R252"/>
    </row>
    <row r="253" spans="1:18" x14ac:dyDescent="0.45">
      <c r="A253">
        <f t="shared" si="4"/>
        <v>195</v>
      </c>
      <c r="B253" t="str">
        <f>VLOOKUP("project_id",ProjectHeaderInfoTalbe37_1[],2,FALSE)&amp;"-"&amp;"T"&amp;TEXT(TaskListTable14_1[[#This Row],[no]],"000")</f>
        <v>PJ-INFRA-26-01-T195</v>
      </c>
      <c r="C253" s="8"/>
      <c r="D253" s="8"/>
      <c r="E253" s="8"/>
      <c r="F253" s="8"/>
      <c r="G253" s="9"/>
      <c r="H253" s="9"/>
      <c r="I253" s="8"/>
      <c r="J253" s="8"/>
      <c r="K253" s="8"/>
      <c r="L253" s="8"/>
      <c r="M253" s="9"/>
      <c r="N253" s="8"/>
      <c r="O253" s="8"/>
      <c r="P253" t="str">
        <f>IF(TaskListTable14_1[[#This Row],[last_update]]&gt;VLOOKUP("LAST-MTG-DATE",DEF_Parameter!$A$3:$D$102,4,FALSE),"YES","")</f>
        <v/>
      </c>
      <c r="Q253"/>
      <c r="R253"/>
    </row>
    <row r="254" spans="1:18" x14ac:dyDescent="0.45">
      <c r="A254">
        <f t="shared" si="4"/>
        <v>196</v>
      </c>
      <c r="B254" t="str">
        <f>VLOOKUP("project_id",ProjectHeaderInfoTalbe37_1[],2,FALSE)&amp;"-"&amp;"T"&amp;TEXT(TaskListTable14_1[[#This Row],[no]],"000")</f>
        <v>PJ-INFRA-26-01-T196</v>
      </c>
      <c r="C254" s="8"/>
      <c r="D254" s="8"/>
      <c r="E254" s="8"/>
      <c r="F254" s="8"/>
      <c r="G254" s="9"/>
      <c r="H254" s="9"/>
      <c r="I254" s="8"/>
      <c r="J254" s="8"/>
      <c r="K254" s="8"/>
      <c r="L254" s="8"/>
      <c r="M254" s="9"/>
      <c r="N254" s="8"/>
      <c r="O254" s="8"/>
      <c r="P254" t="str">
        <f>IF(TaskListTable14_1[[#This Row],[last_update]]&gt;VLOOKUP("LAST-MTG-DATE",DEF_Parameter!$A$3:$D$102,4,FALSE),"YES","")</f>
        <v/>
      </c>
      <c r="Q254"/>
      <c r="R254"/>
    </row>
    <row r="255" spans="1:18" x14ac:dyDescent="0.45">
      <c r="A255">
        <f t="shared" si="4"/>
        <v>197</v>
      </c>
      <c r="B255" t="str">
        <f>VLOOKUP("project_id",ProjectHeaderInfoTalbe37_1[],2,FALSE)&amp;"-"&amp;"T"&amp;TEXT(TaskListTable14_1[[#This Row],[no]],"000")</f>
        <v>PJ-INFRA-26-01-T197</v>
      </c>
      <c r="C255" s="8"/>
      <c r="D255" s="8"/>
      <c r="E255" s="8"/>
      <c r="F255" s="8"/>
      <c r="G255" s="9"/>
      <c r="H255" s="9"/>
      <c r="I255" s="8"/>
      <c r="J255" s="8"/>
      <c r="K255" s="8"/>
      <c r="L255" s="8"/>
      <c r="M255" s="9"/>
      <c r="N255" s="8"/>
      <c r="O255" s="8"/>
      <c r="P255" t="str">
        <f>IF(TaskListTable14_1[[#This Row],[last_update]]&gt;VLOOKUP("LAST-MTG-DATE",DEF_Parameter!$A$3:$D$102,4,FALSE),"YES","")</f>
        <v/>
      </c>
      <c r="Q255"/>
      <c r="R255"/>
    </row>
    <row r="256" spans="1:18" x14ac:dyDescent="0.45">
      <c r="A256">
        <f t="shared" si="4"/>
        <v>198</v>
      </c>
      <c r="B256" t="str">
        <f>VLOOKUP("project_id",ProjectHeaderInfoTalbe37_1[],2,FALSE)&amp;"-"&amp;"T"&amp;TEXT(TaskListTable14_1[[#This Row],[no]],"000")</f>
        <v>PJ-INFRA-26-01-T198</v>
      </c>
      <c r="C256" s="8"/>
      <c r="D256" s="8"/>
      <c r="E256" s="8"/>
      <c r="F256" s="8"/>
      <c r="G256" s="9"/>
      <c r="H256" s="9"/>
      <c r="I256" s="8"/>
      <c r="J256" s="8"/>
      <c r="K256" s="8"/>
      <c r="L256" s="8"/>
      <c r="M256" s="9"/>
      <c r="N256" s="8"/>
      <c r="O256" s="8"/>
      <c r="P256" t="str">
        <f>IF(TaskListTable14_1[[#This Row],[last_update]]&gt;VLOOKUP("LAST-MTG-DATE",DEF_Parameter!$A$3:$D$102,4,FALSE),"YES","")</f>
        <v/>
      </c>
      <c r="Q256"/>
      <c r="R256"/>
    </row>
    <row r="257" spans="1:18" x14ac:dyDescent="0.45">
      <c r="A257">
        <f t="shared" si="4"/>
        <v>199</v>
      </c>
      <c r="B257" t="str">
        <f>VLOOKUP("project_id",ProjectHeaderInfoTalbe37_1[],2,FALSE)&amp;"-"&amp;"T"&amp;TEXT(TaskListTable14_1[[#This Row],[no]],"000")</f>
        <v>PJ-INFRA-26-01-T199</v>
      </c>
      <c r="C257" s="8"/>
      <c r="D257" s="8"/>
      <c r="E257" s="8"/>
      <c r="F257" s="8"/>
      <c r="G257" s="9"/>
      <c r="H257" s="9"/>
      <c r="I257" s="8"/>
      <c r="J257" s="8"/>
      <c r="K257" s="8"/>
      <c r="L257" s="8"/>
      <c r="M257" s="9"/>
      <c r="N257" s="8"/>
      <c r="O257" s="8"/>
      <c r="P257" t="str">
        <f>IF(TaskListTable14_1[[#This Row],[last_update]]&gt;VLOOKUP("LAST-MTG-DATE",DEF_Parameter!$A$3:$D$102,4,FALSE),"YES","")</f>
        <v/>
      </c>
      <c r="Q257"/>
      <c r="R257"/>
    </row>
    <row r="258" spans="1:18" x14ac:dyDescent="0.45">
      <c r="A258">
        <f t="shared" si="4"/>
        <v>200</v>
      </c>
      <c r="B258" t="str">
        <f>VLOOKUP("project_id",ProjectHeaderInfoTalbe37_1[],2,FALSE)&amp;"-"&amp;"T"&amp;TEXT(TaskListTable14_1[[#This Row],[no]],"000")</f>
        <v>PJ-INFRA-26-01-T200</v>
      </c>
      <c r="C258" s="8"/>
      <c r="D258" s="8"/>
      <c r="E258" s="8"/>
      <c r="F258" s="8"/>
      <c r="G258" s="9"/>
      <c r="H258" s="9"/>
      <c r="I258" s="8"/>
      <c r="J258" s="8"/>
      <c r="K258" s="8"/>
      <c r="L258" s="8"/>
      <c r="M258" s="9"/>
      <c r="N258" s="8"/>
      <c r="O258" s="8"/>
      <c r="P258" t="str">
        <f>IF(TaskListTable14_1[[#This Row],[last_update]]&gt;VLOOKUP("LAST-MTG-DATE",DEF_Parameter!$A$3:$D$102,4,FALSE),"YES","")</f>
        <v/>
      </c>
      <c r="Q258"/>
      <c r="R258"/>
    </row>
  </sheetData>
  <phoneticPr fontId="3"/>
  <conditionalFormatting sqref="A59:P258">
    <cfRule type="expression" dxfId="7" priority="1">
      <formula>AND(   NOT(ISBLANK($H59)),   $H59&lt;= TODAY(), $I59&lt;&gt; "Done")</formula>
    </cfRule>
    <cfRule type="expression" dxfId="6" priority="2">
      <formula>AND(   NOT(ISBLANK($H59)),   $H59&lt; TODAY()+2, $I59&lt;&gt; "Done")</formula>
    </cfRule>
    <cfRule type="expression" dxfId="5" priority="3">
      <formula>$P59="YES"</formula>
    </cfRule>
    <cfRule type="expression" dxfId="4" priority="4">
      <formula>$K59="Done"</formula>
    </cfRule>
  </conditionalFormatting>
  <dataValidations count="9">
    <dataValidation type="date" allowBlank="1" showInputMessage="1" showErrorMessage="1" sqref="G59:H258" xr:uid="{672FA584-AB06-4716-9750-86B22D15B005}">
      <formula1>36526</formula1>
      <formula2>401768</formula2>
    </dataValidation>
    <dataValidation type="list" allowBlank="1" showInputMessage="1" showErrorMessage="1" sqref="B17" xr:uid="{69577254-F73D-446D-B232-5952E7151DBD}">
      <formula1>"active,paused,done"</formula1>
    </dataValidation>
    <dataValidation type="list" allowBlank="1" showInputMessage="1" showErrorMessage="1" sqref="B5" xr:uid="{E354954E-9399-43C3-B4A3-A8F4DAAD312C}">
      <formula1>lstProjectCategory</formula1>
    </dataValidation>
    <dataValidation type="list" allowBlank="1" showInputMessage="1" showErrorMessage="1" sqref="B7" xr:uid="{0ED359EE-31C7-41DF-A81C-6052E7453FEE}">
      <formula1>lstSheetRole</formula1>
    </dataValidation>
    <dataValidation type="list" allowBlank="1" showInputMessage="1" showErrorMessage="1" sqref="E59:F258" xr:uid="{D3505502-6C99-4C32-8395-347707EA6F7C}">
      <formula1>lstOwner</formula1>
    </dataValidation>
    <dataValidation type="list" allowBlank="1" showInputMessage="1" showErrorMessage="1" sqref="B10 J59:J258" xr:uid="{26B1AC75-83F3-4A0C-8E6C-CDCE3A378215}">
      <formula1>lstMoSCoW</formula1>
    </dataValidation>
    <dataValidation type="list" allowBlank="1" showInputMessage="1" showErrorMessage="1" sqref="I59:I258" xr:uid="{5A8C9A41-CF33-4CE5-A742-0E734B0C3EC2}">
      <formula1>lstKanbanStatus</formula1>
    </dataValidation>
    <dataValidation type="list" allowBlank="1" showInputMessage="1" showErrorMessage="1" sqref="K59:K258" xr:uid="{FA0C9D5D-D126-4124-BBB7-24E34CBE68DB}">
      <formula1>lstStroryPoint</formula1>
    </dataValidation>
    <dataValidation type="list" allowBlank="1" showInputMessage="1" showErrorMessage="1" sqref="L59:L258" xr:uid="{B5305C62-4E36-4FC1-9FAB-A2AA84606D85}">
      <formula1>lstDoD_check</formula1>
    </dataValidation>
  </dataValidations>
  <hyperlinks>
    <hyperlink ref="B1" location="UI_Index!A1" display="&lt;-Index" xr:uid="{B2AE40A9-FB9C-4583-83B2-69BB0775371E}"/>
    <hyperlink ref="C1" location="UI_ProjectIndex!A1" display="&lt;-ProjectIndex" xr:uid="{3423183E-2071-419D-8021-E8B0A2EB7FA9}"/>
  </hyperlink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Button 1">
              <controlPr defaultSize="0" print="0" autoFill="0" autoPict="0" macro="[0]!JumpNextUpdate">
                <anchor moveWithCells="1" sizeWithCells="1">
                  <from>
                    <xdr:col>3</xdr:col>
                    <xdr:colOff>0</xdr:colOff>
                    <xdr:row>22</xdr:row>
                    <xdr:rowOff>236220</xdr:rowOff>
                  </from>
                  <to>
                    <xdr:col>4</xdr:col>
                    <xdr:colOff>0</xdr:colOff>
                    <xdr:row>23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Button 2">
              <controlPr defaultSize="0" print="0" autoFill="0" autoPict="0" macro="[0]!OutputToObsidian">
                <anchor moveWithCells="1" siz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5">
    <tablePart r:id="rId5"/>
    <tablePart r:id="rId6"/>
    <tablePart r:id="rId7"/>
    <tablePart r:id="rId8"/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22</vt:i4>
      </vt:variant>
      <vt:variant>
        <vt:lpstr>名前付き一覧</vt:lpstr>
      </vt:variant>
      <vt:variant>
        <vt:i4>20</vt:i4>
      </vt:variant>
    </vt:vector>
  </HeadingPairs>
  <TitlesOfParts>
    <vt:vector size="42" baseType="lpstr">
      <vt:lpstr>UI_AddSheet</vt:lpstr>
      <vt:lpstr>UI_Dashboard</vt:lpstr>
      <vt:lpstr>UI_Index</vt:lpstr>
      <vt:lpstr>UI_ProjectIndex</vt:lpstr>
      <vt:lpstr>OUT_TaskUrgent</vt:lpstr>
      <vt:lpstr>DEF_ActionType</vt:lpstr>
      <vt:lpstr>DEF_MoSCoW</vt:lpstr>
      <vt:lpstr>DEF_PJ-CATEGORY-FY-SEQ</vt:lpstr>
      <vt:lpstr>DEF_PT-Name</vt:lpstr>
      <vt:lpstr>DEF_time_coverage</vt:lpstr>
      <vt:lpstr>DEF_event_type</vt:lpstr>
      <vt:lpstr>DEF_Parameter</vt:lpstr>
      <vt:lpstr>DEF_SheetPrefix</vt:lpstr>
      <vt:lpstr>DEF_owner</vt:lpstr>
      <vt:lpstr>DEF_project_category</vt:lpstr>
      <vt:lpstr>DEF_sheet_role</vt:lpstr>
      <vt:lpstr>DEF_story_point</vt:lpstr>
      <vt:lpstr>M_Cov_WBS-Obsidian</vt:lpstr>
      <vt:lpstr>M_DoD_check</vt:lpstr>
      <vt:lpstr>M_Kanban_Status</vt:lpstr>
      <vt:lpstr>LOG_UpdateHistory</vt:lpstr>
      <vt:lpstr>PJ-INFRA-26-01</vt:lpstr>
      <vt:lpstr>'PJ-INFRA-26-01'!ListTaskCategory</vt:lpstr>
      <vt:lpstr>ListTaskCategory</vt:lpstr>
      <vt:lpstr>'PJ-INFRA-26-01'!lstBranchPreffix</vt:lpstr>
      <vt:lpstr>lstBranchPreffix</vt:lpstr>
      <vt:lpstr>'PJ-INFRA-26-01'!lstDoD_check</vt:lpstr>
      <vt:lpstr>lstDoD_check</vt:lpstr>
      <vt:lpstr>lstEventType</vt:lpstr>
      <vt:lpstr>'PJ-INFRA-26-01'!lstKanbanStatus</vt:lpstr>
      <vt:lpstr>lstKanbanStatus</vt:lpstr>
      <vt:lpstr>'PJ-INFRA-26-01'!lstMoSCoW</vt:lpstr>
      <vt:lpstr>lstMoSCoW</vt:lpstr>
      <vt:lpstr>'PJ-INFRA-26-01'!lstOwner</vt:lpstr>
      <vt:lpstr>lstOwner</vt:lpstr>
      <vt:lpstr>'PJ-INFRA-26-01'!lstProjectCategory</vt:lpstr>
      <vt:lpstr>lstProjectCategory</vt:lpstr>
      <vt:lpstr>'PJ-INFRA-26-01'!lstSheetRole</vt:lpstr>
      <vt:lpstr>lstSheetRole</vt:lpstr>
      <vt:lpstr>'PJ-INFRA-26-01'!lstStroryPoint</vt:lpstr>
      <vt:lpstr>lstStroryPoint</vt:lpstr>
      <vt:lpstr>lstTimeCoverage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dev_user</dc:creator>
  <cp:lastModifiedBy>恒樹 今利</cp:lastModifiedBy>
  <dcterms:created xsi:type="dcterms:W3CDTF">2026-02-01T09:22:42Z</dcterms:created>
  <dcterms:modified xsi:type="dcterms:W3CDTF">2026-02-03T05:46:04Z</dcterms:modified>
</cp:coreProperties>
</file>